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6380" windowHeight="8196" tabRatio="500" firstSheet="0" activeTab="0" autoFilterDateGrouping="1"/>
  </bookViews>
  <sheets>
    <sheet xmlns:r="http://schemas.openxmlformats.org/officeDocument/2006/relationships" name="נתוני אימונים" sheetId="1" state="visible" r:id="rId1"/>
    <sheet xmlns:r="http://schemas.openxmlformats.org/officeDocument/2006/relationships" name="סיכום חודשי" sheetId="2" state="visible" r:id="rId2"/>
    <sheet xmlns:r="http://schemas.openxmlformats.org/officeDocument/2006/relationships" name="גרפים" sheetId="3" state="visible" r:id="rId3"/>
  </sheets>
  <definedNames>
    <definedName name="_xlnm._FilterDatabase" localSheetId="0" hidden="1">'נתוני אימונים'!$A$2:$L$31</definedName>
  </definedNames>
  <calcPr calcId="162913" fullCalcOnLoad="1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charset val="1"/>
      <b val="1"/>
      <color rgb="FFFFFFFF"/>
      <sz val="14"/>
    </font>
    <font>
      <name val="Arial"/>
      <charset val="1"/>
      <b val="1"/>
      <color rgb="FFFFFFFF"/>
      <sz val="10"/>
    </font>
    <font>
      <name val="Arial"/>
      <sz val="10"/>
    </font>
    <font>
      <name val="Arial"/>
      <b val="1"/>
      <sz val="10"/>
    </font>
    <font>
      <name val="Arial"/>
      <b val="1"/>
      <color rgb="FFFFFFFF"/>
      <sz val="13"/>
    </font>
    <font>
      <name val="Arial"/>
      <b val="1"/>
      <color rgb="FFFFFFFF"/>
      <sz val="10"/>
    </font>
    <font>
      <name val="Arial"/>
      <b val="1"/>
      <color rgb="FFFFFFFF"/>
      <sz val="12"/>
    </font>
    <font>
      <name val="Arial"/>
      <b val="1"/>
      <color rgb="FFFFFFFF"/>
      <sz val="11"/>
    </font>
    <font>
      <name val="Arial"/>
      <b val="1"/>
      <sz val="11"/>
    </font>
    <font>
      <name val="Calibri"/>
      <b val="1"/>
      <sz val="11"/>
    </font>
    <font>
      <name val="Calibri"/>
      <sz val="11"/>
    </font>
  </fonts>
  <fills count="16">
    <fill>
      <patternFill/>
    </fill>
    <fill>
      <patternFill patternType="gray125"/>
    </fill>
    <fill>
      <patternFill patternType="solid">
        <fgColor rgb="FF1A3557"/>
        <bgColor rgb="FF333399"/>
      </patternFill>
    </fill>
    <fill>
      <patternFill patternType="solid">
        <fgColor rgb="FF2196A6"/>
        <bgColor rgb="FF008080"/>
      </patternFill>
    </fill>
    <fill>
      <patternFill patternType="solid">
        <fgColor rgb="FFC8E6C9"/>
      </patternFill>
    </fill>
    <fill>
      <patternFill patternType="solid">
        <fgColor rgb="FFFFD580"/>
      </patternFill>
    </fill>
    <fill>
      <patternFill patternType="solid">
        <fgColor rgb="FFA5D6A7"/>
      </patternFill>
    </fill>
    <fill>
      <patternFill patternType="solid">
        <fgColor rgb="FFFFCDD2"/>
      </patternFill>
    </fill>
    <fill>
      <patternFill patternType="solid">
        <fgColor rgb="FF1A3557"/>
      </patternFill>
    </fill>
    <fill>
      <patternFill patternType="solid">
        <fgColor rgb="FF2196A6"/>
      </patternFill>
    </fill>
    <fill>
      <patternFill patternType="solid">
        <fgColor rgb="FFF0F4F7"/>
      </patternFill>
    </fill>
    <fill>
      <patternFill patternType="solid">
        <fgColor rgb="FFC8E6C9"/>
      </patternFill>
    </fill>
    <fill>
      <patternFill patternType="solid">
        <fgColor rgb="FFA5D6A7"/>
      </patternFill>
    </fill>
    <fill>
      <patternFill patternType="solid">
        <fgColor rgb="FFFFD580"/>
      </patternFill>
    </fill>
    <fill>
      <patternFill patternType="solid">
        <fgColor rgb="FFFFCDD2"/>
      </patternFill>
    </fill>
    <fill>
      <patternFill patternType="solid">
        <fgColor rgb="FFA5D6A7"/>
      </patternFill>
    </fill>
  </fills>
  <borders count="3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 wrapText="1"/>
    </xf>
    <xf numFmtId="0" fontId="3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2" fontId="3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2" fontId="3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2" fontId="3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2" fontId="3" fillId="14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2" fontId="6" fillId="8" borderId="2" applyAlignment="1" pivotButton="0" quotePrefix="0" xfId="0">
      <alignment horizontal="center" vertical="center"/>
    </xf>
    <xf numFmtId="9" fontId="3" fillId="11" borderId="2" applyAlignment="1" pivotButton="0" quotePrefix="0" xfId="0">
      <alignment horizontal="center" vertical="center"/>
    </xf>
    <xf numFmtId="9" fontId="3" fillId="12" borderId="2" applyAlignment="1" pivotButton="0" quotePrefix="0" xfId="0">
      <alignment horizontal="center" vertical="center"/>
    </xf>
    <xf numFmtId="9" fontId="3" fillId="13" borderId="2" applyAlignment="1" pivotButton="0" quotePrefix="0" xfId="0">
      <alignment horizontal="center" vertical="center"/>
    </xf>
    <xf numFmtId="9" fontId="3" fillId="14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2" fontId="8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7" fillId="9" borderId="0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11" borderId="2" applyAlignment="1" pivotButton="0" quotePrefix="0" xfId="0">
      <alignment horizontal="center" vertical="center"/>
    </xf>
    <xf numFmtId="1" fontId="3" fillId="11" borderId="2" applyAlignment="1" pivotButton="0" quotePrefix="0" xfId="0">
      <alignment horizontal="center" vertical="center"/>
    </xf>
    <xf numFmtId="1" fontId="3" fillId="12" borderId="2" applyAlignment="1" pivotButton="0" quotePrefix="0" xfId="0">
      <alignment horizontal="center" vertical="center"/>
    </xf>
    <xf numFmtId="1" fontId="3" fillId="13" borderId="2" applyAlignment="1" pivotButton="0" quotePrefix="0" xfId="0">
      <alignment horizontal="center" vertical="center"/>
    </xf>
    <xf numFmtId="1" fontId="3" fillId="14" borderId="2" applyAlignment="1" pivotButton="0" quotePrefix="0" xfId="0">
      <alignment horizontal="center" vertical="center"/>
    </xf>
    <xf numFmtId="1" fontId="6" fillId="8" borderId="2" applyAlignment="1" pivotButton="0" quotePrefix="0" xfId="0">
      <alignment horizontal="center" vertical="center"/>
    </xf>
    <xf numFmtId="1" fontId="6" fillId="9" borderId="2" applyAlignment="1" pivotButton="0" quotePrefix="0" xfId="0">
      <alignment horizontal="center" vertical="center" wrapText="1"/>
    </xf>
    <xf numFmtId="1" fontId="8" fillId="8" borderId="2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/>
    </xf>
    <xf numFmtId="1" fontId="11" fillId="15" borderId="0" applyAlignment="1" pivotButton="0" quotePrefix="0" xfId="0">
      <alignment horizontal="center"/>
    </xf>
    <xf numFmtId="0" fontId="11" fillId="15" borderId="0" applyAlignment="1" pivotButton="0" quotePrefix="0" xfId="0">
      <alignment horizontal="center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5" fillId="8" borderId="0" applyAlignment="1" pivotButton="0" quotePrefix="0" xfId="0">
      <alignment horizontal="center" vertical="center"/>
    </xf>
  </cellXfs>
  <cellStyles count="1">
    <cellStyle name="Normal" xfId="0" builtinId="0"/>
  </cellStyles>
  <dxfs count="4">
    <dxf>
      <fill>
        <patternFill patternType="solid">
          <fgColor rgb="FFFFCDD2"/>
          <bgColor rgb="FFFFCDD2"/>
        </patternFill>
      </fill>
    </dxf>
    <dxf>
      <fill>
        <patternFill patternType="solid">
          <fgColor rgb="FFFFD580"/>
          <bgColor rgb="FFFFD580"/>
        </patternFill>
      </fill>
    </dxf>
    <dxf>
      <fill>
        <patternFill patternType="solid">
          <fgColor rgb="FFA5D6A7"/>
          <bgColor rgb="FFA5D6A7"/>
        </patternFill>
      </fill>
    </dxf>
    <dxf>
      <fill>
        <patternFill patternType="solid">
          <fgColor rgb="FFC8E6C9"/>
          <bgColor rgb="FFC8E6C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7D32"/>
      <rgbColor rgb="FF000080"/>
      <rgbColor rgb="FF808000"/>
      <rgbColor rgb="FF800080"/>
      <rgbColor rgb="FF008080"/>
      <rgbColor rgb="FFB0BEC5"/>
      <rgbColor rgb="FF878787"/>
      <rgbColor rgb="FF9999FF"/>
      <rgbColor rgb="FFE53935"/>
      <rgbColor rgb="FFF5F5F5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A5D6A7"/>
      <rgbColor rgb="FFFF99CC"/>
      <rgbColor rgb="FFCC99FF"/>
      <rgbColor rgb="FFFFD580"/>
      <rgbColor rgb="FF3366FF"/>
      <rgbColor rgb="FF33CCCC"/>
      <rgbColor rgb="FF99CC00"/>
      <rgbColor rgb="FFFFCC00"/>
      <rgbColor rgb="FFFF9900"/>
      <rgbColor rgb="FFFF6B35"/>
      <rgbColor rgb="FF666699"/>
      <rgbColor rgb="FF969696"/>
      <rgbColor rgb="FF1A3557"/>
      <rgbColor rgb="FF2196A6"/>
      <rgbColor rgb="FF003300"/>
      <rgbColor rgb="FF333300"/>
      <rgbColor rgb="FFE65100"/>
      <rgbColor rgb="FF993366"/>
      <rgbColor rgb="FF333399"/>
      <rgbColor rgb="FF1B5E2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he-IL"/>
              <a:t>📈 מהירות קמ״ש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גרפים!$B$1</f>
              <strCache>
                <ptCount val="1"/>
                <pt idx="0">
                  <v>מהירות</v>
                </pt>
              </strCache>
            </strRef>
          </tx>
          <spPr>
            <a:ln xmlns:a="http://schemas.openxmlformats.org/drawingml/2006/main" w="28000">
              <a:solidFill>
                <a:srgbClr val="2196A6"/>
              </a:solidFill>
              <a:prstDash val="solid"/>
            </a:ln>
          </spPr>
          <marker>
            <symbol val="circle"/>
            <size val="8"/>
            <spPr>
              <a:solidFill xmlns:a="http://schemas.openxmlformats.org/drawingml/2006/main">
                <a:srgbClr val="2196A6"/>
              </a:solidFill>
              <a:ln xmlns:a="http://schemas.openxmlformats.org/drawingml/2006/main">
                <a:solidFill>
                  <a:srgbClr val="2196A6"/>
                </a:solidFill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dLblPos val="t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גרפים!$A$2:$A$5</f>
              <strCache>
                <ptCount val="4"/>
                <pt idx="0">
                  <v>דצמבר 2025</v>
                </pt>
                <pt idx="1">
                  <v>ינואר 2026</v>
                </pt>
                <pt idx="2">
                  <v>פברואר 2026</v>
                </pt>
                <pt idx="3">
                  <v>מרץ 2026</v>
                </pt>
              </strCache>
            </strRef>
          </cat>
          <val>
            <numRef>
              <f>גרפים!$B$2:$B$5</f>
              <numCache>
                <formatCode>General</formatCode>
                <ptCount val="4"/>
                <pt idx="0">
                  <v>7.033333333333332</v>
                </pt>
                <pt idx="1">
                  <v>6.816666666666666</v>
                </pt>
                <pt idx="2">
                  <v>7.3</v>
                </pt>
                <pt idx="3">
                  <v>0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"/>
        <axId val="100"/>
      </lineChart>
      <catAx>
        <axId val="10"/>
        <scaling>
          <orientation val="maxMin"/>
        </scaling>
        <delete val="1"/>
        <axPos val="b"/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9.5"/>
          <min val="6"/>
        </scaling>
        <delete val="1"/>
        <axPos val="r"/>
        <majorGridlines/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he-IL"/>
              <a:t>❤️ דופק ממוצע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גרפים!$C$1</f>
              <strCache>
                <ptCount val="1"/>
                <pt idx="0">
                  <v>דופק</v>
                </pt>
              </strCache>
            </strRef>
          </tx>
          <spPr>
            <a:ln xmlns:a="http://schemas.openxmlformats.org/drawingml/2006/main" w="28000">
              <a:solidFill>
                <a:srgbClr val="E53935"/>
              </a:solidFill>
              <a:prstDash val="solid"/>
            </a:ln>
          </spPr>
          <marker>
            <symbol val="diamond"/>
            <size val="8"/>
            <spPr>
              <a:solidFill xmlns:a="http://schemas.openxmlformats.org/drawingml/2006/main">
                <a:srgbClr val="E53935"/>
              </a:solidFill>
              <a:ln xmlns:a="http://schemas.openxmlformats.org/drawingml/2006/main">
                <a:solidFill>
                  <a:srgbClr val="E53935"/>
                </a:solidFill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dLblPos val="t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גרפים!$A$2:$A$5</f>
              <strCache>
                <ptCount val="4"/>
                <pt idx="0">
                  <v>דצמבר 2025</v>
                </pt>
                <pt idx="1">
                  <v>ינואר 2026</v>
                </pt>
                <pt idx="2">
                  <v>פברואר 2026</v>
                </pt>
                <pt idx="3">
                  <v>מרץ 2026</v>
                </pt>
              </strCache>
            </strRef>
          </cat>
          <val>
            <numRef>
              <f>גרפים!$C$2:$C$5</f>
              <numCache>
                <formatCode>General</formatCode>
                <ptCount val="4"/>
                <pt idx="0">
                  <v>132.5833333333333</v>
                </pt>
                <pt idx="1">
                  <v>136.8333333333333</v>
                </pt>
                <pt idx="2">
                  <v>135.5</v>
                </pt>
                <pt idx="3">
                  <v>0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"/>
        <axId val="100"/>
      </lineChart>
      <catAx>
        <axId val="10"/>
        <scaling>
          <orientation val="maxMin"/>
        </scaling>
        <delete val="1"/>
        <axPos val="b"/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160"/>
          <min val="115"/>
        </scaling>
        <delete val="1"/>
        <axPos val="r"/>
        <majorGridlines/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he-IL"/>
              <a:t xml:space="preserve">🏓 </a:t>
            </a:r>
            <a:r>
              <a:rPr lang="en-US"/>
              <a:t xml:space="preserve">DPS </a:t>
            </a:r>
            <a:r>
              <a:rPr lang="he-IL"/>
              <a:t>מרחק לפאדל (מ׳)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גרפים!$D$1</f>
              <strCache>
                <ptCount val="1"/>
                <pt idx="0">
                  <v>DPS</v>
                </pt>
              </strCache>
            </strRef>
          </tx>
          <spPr>
            <a:ln xmlns:a="http://schemas.openxmlformats.org/drawingml/2006/main" w="28000">
              <a:solidFill>
                <a:srgbClr val="1A3557"/>
              </a:solidFill>
              <a:prstDash val="solid"/>
            </a:ln>
          </spPr>
          <marker>
            <symbol val="square"/>
            <size val="8"/>
            <spPr>
              <a:solidFill xmlns:a="http://schemas.openxmlformats.org/drawingml/2006/main">
                <a:srgbClr val="1A3557"/>
              </a:solidFill>
              <a:ln xmlns:a="http://schemas.openxmlformats.org/drawingml/2006/main">
                <a:solidFill>
                  <a:srgbClr val="1A3557"/>
                </a:solidFill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dLblPos val="t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גרפים!$A$2:$A$5</f>
              <strCache>
                <ptCount val="4"/>
                <pt idx="0">
                  <v>דצמבר 2025</v>
                </pt>
                <pt idx="1">
                  <v>ינואר 2026</v>
                </pt>
                <pt idx="2">
                  <v>פברואר 2026</v>
                </pt>
                <pt idx="3">
                  <v>מרץ 2026</v>
                </pt>
              </strCache>
            </strRef>
          </cat>
          <val>
            <numRef>
              <f>גרפים!$D$2:$D$5</f>
              <numCache>
                <formatCode>General</formatCode>
                <ptCount val="4"/>
                <pt idx="0">
                  <v>3.0375</v>
                </pt>
                <pt idx="1">
                  <v>2.97</v>
                </pt>
                <pt idx="2">
                  <v>3.15</v>
                </pt>
                <pt idx="3">
                  <v>0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"/>
        <axId val="100"/>
      </lineChart>
      <catAx>
        <axId val="10"/>
        <scaling>
          <orientation val="maxMin"/>
        </scaling>
        <delete val="1"/>
        <axPos val="b"/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3.8"/>
          <min val="2.5"/>
        </scaling>
        <delete val="1"/>
        <axPos val="r"/>
        <majorGridlines/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he-IL"/>
              <a:t>⚡ יעילות (מהירות÷דופק)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גרפים!$E$1</f>
              <strCache>
                <ptCount val="1"/>
                <pt idx="0">
                  <v>יעילות</v>
                </pt>
              </strCache>
            </strRef>
          </tx>
          <spPr>
            <a:ln xmlns:a="http://schemas.openxmlformats.org/drawingml/2006/main" w="28000">
              <a:solidFill>
                <a:srgbClr val="FF6B35"/>
              </a:solidFill>
              <a:prstDash val="solid"/>
            </a:ln>
          </spPr>
          <marker>
            <symbol val="triangle"/>
            <size val="8"/>
            <spPr>
              <a:solidFill xmlns:a="http://schemas.openxmlformats.org/drawingml/2006/main">
                <a:srgbClr val="FF6B35"/>
              </a:solidFill>
              <a:ln xmlns:a="http://schemas.openxmlformats.org/drawingml/2006/main">
                <a:solidFill>
                  <a:srgbClr val="FF6B35"/>
                </a:solidFill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dLblPos val="t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גרפים!$A$2:$A$5</f>
              <strCache>
                <ptCount val="4"/>
                <pt idx="0">
                  <v>דצמבר 2025</v>
                </pt>
                <pt idx="1">
                  <v>ינואר 2026</v>
                </pt>
                <pt idx="2">
                  <v>פברואר 2026</v>
                </pt>
                <pt idx="3">
                  <v>מרץ 2026</v>
                </pt>
              </strCache>
            </strRef>
          </cat>
          <val>
            <numRef>
              <f>גרפים!$E$2:$E$5</f>
              <numCache>
                <formatCode>General</formatCode>
                <ptCount val="4"/>
                <pt idx="0">
                  <v>0.05304839723444373</v>
                </pt>
                <pt idx="1">
                  <v>0.04981729598051157</v>
                </pt>
                <pt idx="2">
                  <v>0.05387453874538745</v>
                </pt>
                <pt idx="3">
                  <v>0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"/>
        <axId val="100"/>
      </lineChart>
      <catAx>
        <axId val="10"/>
        <scaling>
          <orientation val="maxMin"/>
        </scaling>
        <delete val="1"/>
        <axPos val="b"/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0.07000000000000001"/>
          <min val="0.04"/>
        </scaling>
        <delete val="1"/>
        <axPos val="r"/>
        <majorGridlines/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6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0</row>
      <rowOff>0</rowOff>
    </from>
    <ext cx="468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19</row>
      <rowOff>0</rowOff>
    </from>
    <ext cx="468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11</col>
      <colOff>0</colOff>
      <row>19</row>
      <rowOff>0</rowOff>
    </from>
    <ext cx="468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rightToLeft="1" tabSelected="1" zoomScaleNormal="100" workbookViewId="0">
      <pane ySplit="2" topLeftCell="A27" activePane="bottomLeft" state="frozen"/>
      <selection pane="bottomLeft" activeCell="D40" sqref="D40"/>
    </sheetView>
  </sheetViews>
  <sheetFormatPr baseColWidth="8" defaultColWidth="8.6640625" defaultRowHeight="14.4"/>
  <cols>
    <col width="13" customWidth="1" style="41" min="1" max="1"/>
    <col width="14" customWidth="1" style="41" min="2" max="2"/>
    <col width="10" customWidth="1" style="41" min="3" max="5"/>
    <col width="12" customWidth="1" style="41" min="6" max="7"/>
    <col width="8" customWidth="1" style="41" min="8" max="8"/>
    <col width="10" customWidth="1" style="41" min="9" max="9"/>
    <col width="12" customWidth="1" style="41" min="10" max="10"/>
    <col width="10" customWidth="1" style="41" min="11" max="12"/>
  </cols>
  <sheetData>
    <row r="1" ht="33.75" customHeight="1" s="41">
      <c r="A1" s="40" t="inlineStr">
        <is>
          <t>📊 ניתוח אימוני SUP — לוח מעקב</t>
        </is>
      </c>
    </row>
    <row r="2" ht="33.75" customHeight="1" s="41">
      <c r="A2" s="1" t="inlineStr">
        <is>
          <t>תאריך</t>
        </is>
      </c>
      <c r="B2" s="1" t="inlineStr">
        <is>
          <t>סוג אימון</t>
        </is>
      </c>
      <c r="C2" s="1" t="inlineStr">
        <is>
          <t>מיקום</t>
        </is>
      </c>
      <c r="D2" s="1" t="inlineStr">
        <is>
          <t>מרחק
(ק״מ)</t>
        </is>
      </c>
      <c r="E2" s="1" t="inlineStr">
        <is>
          <t>זמן</t>
        </is>
      </c>
      <c r="F2" s="1" t="inlineStr">
        <is>
          <t>מהירות
(קמ״ש)</t>
        </is>
      </c>
      <c r="G2" s="1" t="inlineStr">
        <is>
          <t>דופק
ממוצע</t>
        </is>
      </c>
      <c r="H2" s="1" t="inlineStr">
        <is>
          <t>SPM</t>
        </is>
      </c>
      <c r="I2" s="1" t="inlineStr">
        <is>
          <t>DPS
(מ׳)</t>
        </is>
      </c>
      <c r="J2" s="1" t="inlineStr">
        <is>
          <t>זמן Z3</t>
        </is>
      </c>
      <c r="K2" s="1" t="inlineStr">
        <is>
          <t>זמן Z4</t>
        </is>
      </c>
      <c r="L2" s="1" t="inlineStr">
        <is>
          <t>זמן Z5</t>
        </is>
      </c>
    </row>
    <row r="3" ht="22.05" customHeight="1" s="41">
      <c r="A3" s="2" t="inlineStr">
        <is>
          <t>03.12.2025</t>
        </is>
      </c>
      <c r="B3" s="6" t="inlineStr">
        <is>
          <t>ספרינטים</t>
        </is>
      </c>
      <c r="C3" s="6" t="inlineStr">
        <is>
          <t>ים</t>
        </is>
      </c>
      <c r="D3" s="6" t="n">
        <v>6.95</v>
      </c>
      <c r="E3" s="6" t="inlineStr">
        <is>
          <t>1:21:09</t>
        </is>
      </c>
      <c r="F3" s="6" t="n">
        <v>5.1</v>
      </c>
      <c r="G3" s="6" t="n">
        <v>142</v>
      </c>
      <c r="H3" s="6" t="n">
        <v>32</v>
      </c>
      <c r="I3" s="6" t="n">
        <v>2.79</v>
      </c>
      <c r="J3" s="6" t="inlineStr">
        <is>
          <t>0:38:17</t>
        </is>
      </c>
      <c r="K3" s="6" t="inlineStr">
        <is>
          <t>0:32:00</t>
        </is>
      </c>
      <c r="L3" s="6" t="inlineStr">
        <is>
          <t>0:01:15</t>
        </is>
      </c>
    </row>
    <row r="4" ht="22.05" customHeight="1" s="41">
      <c r="A4" s="2" t="inlineStr">
        <is>
          <t>06.12.2025</t>
        </is>
      </c>
      <c r="B4" s="4" t="inlineStr">
        <is>
          <t>טמפו</t>
        </is>
      </c>
      <c r="C4" s="4" t="inlineStr">
        <is>
          <t>ים</t>
        </is>
      </c>
      <c r="D4" s="4" t="n">
        <v>9.6</v>
      </c>
      <c r="E4" s="4" t="inlineStr">
        <is>
          <t>1:13:53</t>
        </is>
      </c>
      <c r="F4" s="4" t="n">
        <v>7.8</v>
      </c>
      <c r="G4" s="4" t="n">
        <v>146</v>
      </c>
      <c r="H4" s="4" t="n">
        <v>43</v>
      </c>
      <c r="I4" s="4" t="n">
        <v>3.01</v>
      </c>
      <c r="J4" s="4" t="inlineStr">
        <is>
          <t>0:28:39</t>
        </is>
      </c>
      <c r="K4" s="4" t="inlineStr">
        <is>
          <t>0:41:27</t>
        </is>
      </c>
      <c r="L4" s="4" t="inlineStr">
        <is>
          <t>0:00</t>
        </is>
      </c>
    </row>
    <row r="5" ht="22.05" customHeight="1" s="41">
      <c r="A5" s="2" t="inlineStr">
        <is>
          <t>09.12.2025</t>
        </is>
      </c>
      <c r="B5" s="4" t="inlineStr">
        <is>
          <t>טמפו</t>
        </is>
      </c>
      <c r="C5" s="4" t="inlineStr">
        <is>
          <t>נחל</t>
        </is>
      </c>
      <c r="D5" s="4" t="n">
        <v>10.36</v>
      </c>
      <c r="E5" s="4" t="inlineStr">
        <is>
          <t>1:20:11</t>
        </is>
      </c>
      <c r="F5" s="4" t="n">
        <v>7.8</v>
      </c>
      <c r="G5" s="4" t="n">
        <v>136</v>
      </c>
      <c r="H5" s="4" t="n">
        <v>41</v>
      </c>
      <c r="I5" s="4" t="n">
        <v>3.17</v>
      </c>
      <c r="J5" s="4" t="inlineStr">
        <is>
          <t>0:40:31</t>
        </is>
      </c>
      <c r="K5" s="4" t="inlineStr">
        <is>
          <t>0:21:36</t>
        </is>
      </c>
      <c r="L5" s="4" t="inlineStr">
        <is>
          <t>0:00</t>
        </is>
      </c>
    </row>
    <row r="6" ht="22.05" customHeight="1" s="41">
      <c r="A6" s="2" t="inlineStr">
        <is>
          <t>12.12.2025</t>
        </is>
      </c>
      <c r="B6" s="3" t="inlineStr">
        <is>
          <t>אירובי</t>
        </is>
      </c>
      <c r="C6" s="3" t="inlineStr">
        <is>
          <t>נחל</t>
        </is>
      </c>
      <c r="D6" s="3" t="n">
        <v>9.32</v>
      </c>
      <c r="E6" s="3" t="inlineStr">
        <is>
          <t>1:18:11</t>
        </is>
      </c>
      <c r="F6" s="3" t="n">
        <v>7.1</v>
      </c>
      <c r="G6" s="3" t="n">
        <v>129</v>
      </c>
      <c r="H6" s="3" t="n">
        <v>37</v>
      </c>
      <c r="I6" s="3" t="n">
        <v>3.29</v>
      </c>
      <c r="J6" s="3" t="inlineStr">
        <is>
          <t>1:00:35</t>
        </is>
      </c>
      <c r="K6" s="3" t="inlineStr">
        <is>
          <t>0:00</t>
        </is>
      </c>
      <c r="L6" s="3" t="inlineStr">
        <is>
          <t>0:00</t>
        </is>
      </c>
    </row>
    <row r="7" ht="22.05" customHeight="1" s="41">
      <c r="A7" s="2" t="inlineStr">
        <is>
          <t>13.12.2025</t>
        </is>
      </c>
      <c r="B7" s="6" t="inlineStr">
        <is>
          <t>ספרינטים</t>
        </is>
      </c>
      <c r="C7" s="6" t="inlineStr">
        <is>
          <t>ים</t>
        </is>
      </c>
      <c r="D7" s="6" t="n">
        <v>8.630000000000001</v>
      </c>
      <c r="E7" s="6" t="inlineStr">
        <is>
          <t>1:15:35</t>
        </is>
      </c>
      <c r="F7" s="6" t="n">
        <v>6.8</v>
      </c>
      <c r="G7" s="6" t="n">
        <v>133</v>
      </c>
      <c r="H7" s="6" t="n">
        <v>39</v>
      </c>
      <c r="I7" s="6" t="n">
        <v>2.96</v>
      </c>
      <c r="J7" s="6" t="inlineStr">
        <is>
          <t>0:50:03</t>
        </is>
      </c>
      <c r="K7" s="6" t="inlineStr">
        <is>
          <t>0:08:19</t>
        </is>
      </c>
      <c r="L7" s="6" t="inlineStr">
        <is>
          <t>0:00</t>
        </is>
      </c>
    </row>
    <row r="8" ht="22.05" customHeight="1" s="41">
      <c r="A8" s="2" t="inlineStr">
        <is>
          <t>15.12.2025</t>
        </is>
      </c>
      <c r="B8" s="4" t="inlineStr">
        <is>
          <t>טמפו</t>
        </is>
      </c>
      <c r="C8" s="4" t="inlineStr">
        <is>
          <t>ים</t>
        </is>
      </c>
      <c r="D8" s="4" t="n">
        <v>9.720000000000001</v>
      </c>
      <c r="E8" s="4" t="inlineStr">
        <is>
          <t>1:20:01</t>
        </is>
      </c>
      <c r="F8" s="4" t="n">
        <v>7.3</v>
      </c>
      <c r="G8" s="4" t="n">
        <v>139</v>
      </c>
      <c r="H8" s="4" t="n">
        <v>40</v>
      </c>
      <c r="I8" s="4" t="n">
        <v>3.03</v>
      </c>
      <c r="J8" s="4" t="inlineStr">
        <is>
          <t>0:51:03</t>
        </is>
      </c>
      <c r="K8" s="4" t="inlineStr">
        <is>
          <t>0:17:29</t>
        </is>
      </c>
      <c r="L8" s="4" t="inlineStr">
        <is>
          <t>0:00</t>
        </is>
      </c>
    </row>
    <row r="9" ht="22.05" customHeight="1" s="41">
      <c r="A9" s="2" t="inlineStr">
        <is>
          <t>17.12.2025</t>
        </is>
      </c>
      <c r="B9" s="3" t="inlineStr">
        <is>
          <t>אירובי</t>
        </is>
      </c>
      <c r="C9" s="3" t="inlineStr">
        <is>
          <t>נחל</t>
        </is>
      </c>
      <c r="D9" s="3" t="n">
        <v>9.98</v>
      </c>
      <c r="E9" s="3" t="inlineStr">
        <is>
          <t>1:19:15</t>
        </is>
      </c>
      <c r="F9" s="3" t="n">
        <v>7.6</v>
      </c>
      <c r="G9" s="3" t="n">
        <v>130</v>
      </c>
      <c r="H9" s="3" t="n">
        <v>39</v>
      </c>
      <c r="I9" s="3" t="n">
        <v>3.28</v>
      </c>
      <c r="J9" s="3" t="inlineStr">
        <is>
          <t>1:01:50</t>
        </is>
      </c>
      <c r="K9" s="3" t="inlineStr">
        <is>
          <t>0:00</t>
        </is>
      </c>
      <c r="L9" s="3" t="inlineStr">
        <is>
          <t>0:00</t>
        </is>
      </c>
    </row>
    <row r="10" ht="22.05" customHeight="1" s="41">
      <c r="A10" s="2" t="inlineStr">
        <is>
          <t>19.12.2025</t>
        </is>
      </c>
      <c r="B10" s="3" t="inlineStr">
        <is>
          <t>אירובי</t>
        </is>
      </c>
      <c r="C10" s="3" t="inlineStr">
        <is>
          <t>ים</t>
        </is>
      </c>
      <c r="D10" s="3" t="n">
        <v>9.75</v>
      </c>
      <c r="E10" s="3" t="inlineStr">
        <is>
          <t>1:19:43</t>
        </is>
      </c>
      <c r="F10" s="3" t="n">
        <v>7.3</v>
      </c>
      <c r="G10" s="3" t="n">
        <v>139</v>
      </c>
      <c r="H10" s="3" t="n">
        <v>41</v>
      </c>
      <c r="I10" s="3" t="n">
        <v>2.99</v>
      </c>
      <c r="J10" s="3" t="inlineStr">
        <is>
          <t>0:59:12</t>
        </is>
      </c>
      <c r="K10" s="3" t="inlineStr">
        <is>
          <t>0:13:28</t>
        </is>
      </c>
      <c r="L10" s="3" t="inlineStr">
        <is>
          <t>0:00</t>
        </is>
      </c>
    </row>
    <row r="11" ht="22.05" customHeight="1" s="41">
      <c r="A11" s="2" t="inlineStr">
        <is>
          <t>20.12.2025</t>
        </is>
      </c>
      <c r="B11" s="3" t="inlineStr">
        <is>
          <t>אירובי</t>
        </is>
      </c>
      <c r="C11" s="3" t="inlineStr">
        <is>
          <t>ים</t>
        </is>
      </c>
      <c r="D11" s="3" t="n">
        <v>9.140000000000001</v>
      </c>
      <c r="E11" s="3" t="inlineStr">
        <is>
          <t>1:19:53</t>
        </is>
      </c>
      <c r="F11" s="3" t="n">
        <v>6.9</v>
      </c>
      <c r="G11" s="3" t="n">
        <v>134</v>
      </c>
      <c r="H11" s="3" t="n">
        <v>41</v>
      </c>
      <c r="I11" s="3" t="n">
        <v>2.8</v>
      </c>
      <c r="J11" s="3" t="inlineStr">
        <is>
          <t>0:43:26</t>
        </is>
      </c>
      <c r="K11" s="3" t="inlineStr">
        <is>
          <t>0:15:03</t>
        </is>
      </c>
      <c r="L11" s="3" t="inlineStr">
        <is>
          <t>0:00:26</t>
        </is>
      </c>
    </row>
    <row r="12" ht="22.05" customHeight="1" s="41">
      <c r="A12" s="2" t="inlineStr">
        <is>
          <t>22.12.2025</t>
        </is>
      </c>
      <c r="B12" s="6" t="inlineStr">
        <is>
          <t>ספרינטים</t>
        </is>
      </c>
      <c r="C12" s="6" t="inlineStr">
        <is>
          <t>ים</t>
        </is>
      </c>
      <c r="D12" s="6" t="n">
        <v>8.01</v>
      </c>
      <c r="E12" s="6" t="inlineStr">
        <is>
          <t>1:24:15</t>
        </is>
      </c>
      <c r="F12" s="6" t="n">
        <v>5.7</v>
      </c>
      <c r="G12" s="6" t="n">
        <v>85</v>
      </c>
      <c r="H12" s="6" t="n">
        <v>34</v>
      </c>
      <c r="I12" s="6" t="n">
        <v>2.8</v>
      </c>
      <c r="J12" s="6" t="inlineStr">
        <is>
          <t>0:00</t>
        </is>
      </c>
      <c r="K12" s="6" t="inlineStr">
        <is>
          <t>0:00</t>
        </is>
      </c>
      <c r="L12" s="6" t="inlineStr">
        <is>
          <t>0:00</t>
        </is>
      </c>
    </row>
    <row r="13" ht="22.05" customHeight="1" s="41">
      <c r="A13" s="2" t="inlineStr">
        <is>
          <t>26.12.2025</t>
        </is>
      </c>
      <c r="B13" s="4" t="inlineStr">
        <is>
          <t>טמפו</t>
        </is>
      </c>
      <c r="C13" s="4" t="inlineStr">
        <is>
          <t>ים</t>
        </is>
      </c>
      <c r="D13" s="4" t="n">
        <v>9.23</v>
      </c>
      <c r="E13" s="4" t="inlineStr">
        <is>
          <t>1:15:09</t>
        </is>
      </c>
      <c r="F13" s="4" t="n">
        <v>7.4</v>
      </c>
      <c r="G13" s="4" t="n">
        <v>144</v>
      </c>
      <c r="H13" s="4" t="n">
        <v>40</v>
      </c>
      <c r="I13" s="4" t="n">
        <v>3.07</v>
      </c>
      <c r="J13" s="4" t="inlineStr">
        <is>
          <t>0:27:52</t>
        </is>
      </c>
      <c r="K13" s="4" t="inlineStr">
        <is>
          <t>0:39:07</t>
        </is>
      </c>
      <c r="L13" s="4" t="inlineStr">
        <is>
          <t>0:00</t>
        </is>
      </c>
    </row>
    <row r="14" ht="22.05" customHeight="1" s="41">
      <c r="A14" s="2" t="inlineStr">
        <is>
          <t>27.12.2025</t>
        </is>
      </c>
      <c r="B14" s="3" t="inlineStr">
        <is>
          <t>אירובי</t>
        </is>
      </c>
      <c r="C14" s="3" t="inlineStr">
        <is>
          <t>נחל</t>
        </is>
      </c>
      <c r="D14" s="3" t="n">
        <v>9.800000000000001</v>
      </c>
      <c r="E14" s="3" t="inlineStr">
        <is>
          <t>1:17:27</t>
        </is>
      </c>
      <c r="F14" s="3" t="n">
        <v>7.6</v>
      </c>
      <c r="G14" s="3" t="n">
        <v>134</v>
      </c>
      <c r="H14" s="3" t="n">
        <v>39</v>
      </c>
      <c r="I14" s="3" t="n">
        <v>3.26</v>
      </c>
      <c r="J14" s="3" t="inlineStr">
        <is>
          <t>1:05:37</t>
        </is>
      </c>
      <c r="K14" s="3" t="inlineStr">
        <is>
          <t>0:00</t>
        </is>
      </c>
      <c r="L14" s="3" t="inlineStr">
        <is>
          <t>0:00</t>
        </is>
      </c>
    </row>
    <row r="15" ht="22.05" customHeight="1" s="41">
      <c r="A15" s="2" t="inlineStr">
        <is>
          <t>03.01.2026</t>
        </is>
      </c>
      <c r="B15" s="3" t="inlineStr">
        <is>
          <t>אירובי</t>
        </is>
      </c>
      <c r="C15" s="3" t="inlineStr">
        <is>
          <t>נחל</t>
        </is>
      </c>
      <c r="D15" s="3" t="n">
        <v>9.68</v>
      </c>
      <c r="E15" s="3" t="inlineStr">
        <is>
          <t>1:18:56</t>
        </is>
      </c>
      <c r="F15" s="3" t="n">
        <v>7.4</v>
      </c>
      <c r="G15" s="3" t="n">
        <v>131</v>
      </c>
      <c r="H15" s="3" t="n">
        <v>40</v>
      </c>
      <c r="I15" s="3" t="n">
        <v>3.11</v>
      </c>
      <c r="J15" s="3" t="inlineStr">
        <is>
          <t>1:04:27</t>
        </is>
      </c>
      <c r="K15" s="3" t="inlineStr">
        <is>
          <t>0:00</t>
        </is>
      </c>
      <c r="L15" s="3" t="inlineStr">
        <is>
          <t>0:00</t>
        </is>
      </c>
    </row>
    <row r="16" ht="22.05" customHeight="1" s="41">
      <c r="A16" s="2" t="inlineStr">
        <is>
          <t>05.01.2026</t>
        </is>
      </c>
      <c r="B16" s="4" t="inlineStr">
        <is>
          <t>טמפו</t>
        </is>
      </c>
      <c r="C16" s="4" t="inlineStr">
        <is>
          <t>ים</t>
        </is>
      </c>
      <c r="D16" s="4" t="n">
        <v>9.5</v>
      </c>
      <c r="E16" s="4" t="inlineStr">
        <is>
          <t>1:19:46</t>
        </is>
      </c>
      <c r="F16" s="4" t="n">
        <v>7.1</v>
      </c>
      <c r="G16" s="4" t="n">
        <v>138</v>
      </c>
      <c r="H16" s="4" t="n">
        <v>41</v>
      </c>
      <c r="I16" s="4" t="n">
        <v>2.95</v>
      </c>
      <c r="J16" s="4" t="inlineStr">
        <is>
          <t>0:45:56</t>
        </is>
      </c>
      <c r="K16" s="4" t="inlineStr">
        <is>
          <t>0:18:06</t>
        </is>
      </c>
      <c r="L16" s="4" t="inlineStr">
        <is>
          <t>0:00:16</t>
        </is>
      </c>
    </row>
    <row r="17" ht="22.05" customHeight="1" s="41">
      <c r="A17" s="2" t="inlineStr">
        <is>
          <t>21.01.2026</t>
        </is>
      </c>
      <c r="B17" s="4" t="inlineStr">
        <is>
          <t>טמפו</t>
        </is>
      </c>
      <c r="C17" s="4" t="inlineStr">
        <is>
          <t>ים</t>
        </is>
      </c>
      <c r="D17" s="4" t="n">
        <v>8.91</v>
      </c>
      <c r="E17" s="4" t="inlineStr">
        <is>
          <t>1:20:04</t>
        </is>
      </c>
      <c r="F17" s="4" t="n">
        <v>6.7</v>
      </c>
      <c r="G17" s="4" t="n">
        <v>135</v>
      </c>
      <c r="H17" s="4" t="n">
        <v>40</v>
      </c>
      <c r="I17" s="4" t="n">
        <v>2.8</v>
      </c>
      <c r="J17" s="4" t="inlineStr">
        <is>
          <t>0:52:32</t>
        </is>
      </c>
      <c r="K17" s="4" t="inlineStr">
        <is>
          <t>0:13:35</t>
        </is>
      </c>
      <c r="L17" s="4" t="inlineStr">
        <is>
          <t>0:00</t>
        </is>
      </c>
    </row>
    <row r="18" ht="22.05" customHeight="1" s="41">
      <c r="A18" s="2" t="inlineStr">
        <is>
          <t>23.01.2026</t>
        </is>
      </c>
      <c r="B18" s="4" t="inlineStr">
        <is>
          <t>טמפו</t>
        </is>
      </c>
      <c r="C18" s="4" t="inlineStr">
        <is>
          <t>ים</t>
        </is>
      </c>
      <c r="D18" s="4" t="n">
        <v>6.47</v>
      </c>
      <c r="E18" s="4" t="inlineStr">
        <is>
          <t>1:21:12</t>
        </is>
      </c>
      <c r="F18" s="4" t="n">
        <v>4.8</v>
      </c>
      <c r="G18" s="4" t="n">
        <v>141</v>
      </c>
      <c r="H18" s="4" t="n">
        <v>35</v>
      </c>
      <c r="I18" s="4" t="n">
        <v>2.4</v>
      </c>
      <c r="J18" s="4" t="inlineStr">
        <is>
          <t>0:49:06</t>
        </is>
      </c>
      <c r="K18" s="4" t="inlineStr">
        <is>
          <t>0:28:36</t>
        </is>
      </c>
      <c r="L18" s="4" t="inlineStr">
        <is>
          <t>0:00</t>
        </is>
      </c>
    </row>
    <row r="19" ht="22.05" customHeight="1" s="41">
      <c r="A19" s="2" t="inlineStr">
        <is>
          <t>26.01.2026</t>
        </is>
      </c>
      <c r="B19" s="3" t="inlineStr">
        <is>
          <t>אירובי</t>
        </is>
      </c>
      <c r="C19" s="3" t="inlineStr">
        <is>
          <t>ים</t>
        </is>
      </c>
      <c r="D19" s="3" t="n">
        <v>9.35</v>
      </c>
      <c r="E19" s="3" t="inlineStr">
        <is>
          <t>1:18:32</t>
        </is>
      </c>
      <c r="F19" s="3" t="n">
        <v>7.1</v>
      </c>
      <c r="G19" s="3" t="n">
        <v>138</v>
      </c>
      <c r="H19" s="3" t="n">
        <v>37</v>
      </c>
      <c r="I19" s="3" t="n">
        <v>3.19</v>
      </c>
      <c r="J19" s="3" t="inlineStr">
        <is>
          <t>0:55:54</t>
        </is>
      </c>
      <c r="K19" s="3" t="inlineStr">
        <is>
          <t>0:10:59</t>
        </is>
      </c>
      <c r="L19" s="3" t="inlineStr">
        <is>
          <t>0:00</t>
        </is>
      </c>
    </row>
    <row r="20" ht="22.05" customHeight="1" s="41">
      <c r="A20" s="2" t="inlineStr">
        <is>
          <t>31.01.2026</t>
        </is>
      </c>
      <c r="B20" s="5" t="inlineStr">
        <is>
          <t>אירובי ארוך</t>
        </is>
      </c>
      <c r="C20" s="5" t="inlineStr">
        <is>
          <t>נחל</t>
        </is>
      </c>
      <c r="D20" s="5" t="n">
        <v>14.65</v>
      </c>
      <c r="E20" s="5" t="inlineStr">
        <is>
          <t>1:53:25</t>
        </is>
      </c>
      <c r="F20" s="5" t="n">
        <v>7.8</v>
      </c>
      <c r="G20" s="5" t="n">
        <v>138</v>
      </c>
      <c r="H20" s="5" t="n">
        <v>39</v>
      </c>
      <c r="I20" s="5" t="n">
        <v>3.37</v>
      </c>
      <c r="J20" s="5" t="inlineStr">
        <is>
          <t>1:40:49</t>
        </is>
      </c>
      <c r="K20" s="5" t="inlineStr">
        <is>
          <t>0:02:00</t>
        </is>
      </c>
      <c r="L20" s="5" t="inlineStr">
        <is>
          <t>0:00</t>
        </is>
      </c>
    </row>
    <row r="21" ht="22.05" customHeight="1" s="41">
      <c r="A21" s="2" t="inlineStr">
        <is>
          <t>02.02.2026</t>
        </is>
      </c>
      <c r="B21" s="4" t="inlineStr">
        <is>
          <t>טמפו</t>
        </is>
      </c>
      <c r="C21" s="4" t="inlineStr">
        <is>
          <t>ים</t>
        </is>
      </c>
      <c r="D21" s="4" t="n">
        <v>8.67</v>
      </c>
      <c r="E21" s="4" t="inlineStr">
        <is>
          <t>1:16:31</t>
        </is>
      </c>
      <c r="F21" s="4" t="n">
        <v>6.8</v>
      </c>
      <c r="G21" s="4" t="n">
        <v>142</v>
      </c>
      <c r="H21" s="4" t="n">
        <v>38</v>
      </c>
      <c r="I21" s="4" t="n">
        <v>2.98</v>
      </c>
      <c r="J21" s="4" t="inlineStr">
        <is>
          <t>0:35:51</t>
        </is>
      </c>
      <c r="K21" s="4" t="inlineStr">
        <is>
          <t>0:30:16</t>
        </is>
      </c>
      <c r="L21" s="4" t="inlineStr">
        <is>
          <t>0:00</t>
        </is>
      </c>
    </row>
    <row r="22" ht="22.05" customHeight="1" s="41">
      <c r="A22" s="2" t="inlineStr">
        <is>
          <t>04.02.2026</t>
        </is>
      </c>
      <c r="B22" s="3" t="inlineStr">
        <is>
          <t>אירובי</t>
        </is>
      </c>
      <c r="C22" s="3" t="inlineStr">
        <is>
          <t>נחל</t>
        </is>
      </c>
      <c r="D22" s="3" t="n">
        <v>9.52</v>
      </c>
      <c r="E22" s="3" t="inlineStr">
        <is>
          <t>1:14:42</t>
        </is>
      </c>
      <c r="F22" s="3" t="n">
        <v>7.6</v>
      </c>
      <c r="G22" s="3" t="n">
        <v>135</v>
      </c>
      <c r="H22" s="3" t="n">
        <v>39</v>
      </c>
      <c r="I22" s="3" t="n">
        <v>3.3</v>
      </c>
      <c r="J22" s="3" t="inlineStr">
        <is>
          <t>1:04:15</t>
        </is>
      </c>
      <c r="K22" s="3" t="inlineStr">
        <is>
          <t>0:00</t>
        </is>
      </c>
      <c r="L22" s="3" t="inlineStr">
        <is>
          <t>0:00</t>
        </is>
      </c>
    </row>
    <row r="23" ht="22.05" customHeight="1" s="41">
      <c r="A23" s="2" t="inlineStr">
        <is>
          <t>06.02.2026</t>
        </is>
      </c>
      <c r="B23" s="6" t="inlineStr">
        <is>
          <t>ספרינטים</t>
        </is>
      </c>
      <c r="C23" s="6" t="inlineStr">
        <is>
          <t>ים</t>
        </is>
      </c>
      <c r="D23" s="6" t="n">
        <v>9.32</v>
      </c>
      <c r="E23" s="6" t="inlineStr">
        <is>
          <t>1:19:05</t>
        </is>
      </c>
      <c r="F23" s="6" t="n">
        <v>7.1</v>
      </c>
      <c r="G23" s="6" t="n">
        <v>136</v>
      </c>
      <c r="H23" s="6" t="n">
        <v>40</v>
      </c>
      <c r="I23" s="6" t="n">
        <v>3.02</v>
      </c>
      <c r="J23" s="6" t="inlineStr">
        <is>
          <t>0:48:27</t>
        </is>
      </c>
      <c r="K23" s="6" t="inlineStr">
        <is>
          <t>0:16:26</t>
        </is>
      </c>
      <c r="L23" s="6" t="inlineStr">
        <is>
          <t>0:00:05</t>
        </is>
      </c>
    </row>
    <row r="24" ht="22.05" customHeight="1" s="41">
      <c r="A24" s="2" t="inlineStr">
        <is>
          <t>07.02.2026</t>
        </is>
      </c>
      <c r="B24" s="5" t="inlineStr">
        <is>
          <t>אירובי ארוך</t>
        </is>
      </c>
      <c r="C24" s="5" t="inlineStr">
        <is>
          <t>נחל</t>
        </is>
      </c>
      <c r="D24" s="5" t="n">
        <v>18.97</v>
      </c>
      <c r="E24" s="5" t="inlineStr">
        <is>
          <t>2:21:14</t>
        </is>
      </c>
      <c r="F24" s="5" t="n">
        <v>8.1</v>
      </c>
      <c r="G24" s="5" t="n">
        <v>133</v>
      </c>
      <c r="H24" s="5" t="n">
        <v>41</v>
      </c>
      <c r="I24" s="5" t="n">
        <v>3.29</v>
      </c>
      <c r="J24" s="5" t="inlineStr">
        <is>
          <t>2:09:11</t>
        </is>
      </c>
      <c r="K24" s="5" t="inlineStr">
        <is>
          <t>0:00</t>
        </is>
      </c>
      <c r="L24" s="5" t="inlineStr">
        <is>
          <t>0:00</t>
        </is>
      </c>
    </row>
    <row r="25" ht="22.05" customHeight="1" s="41">
      <c r="A25" s="2" t="inlineStr">
        <is>
          <t>13.02.2026</t>
        </is>
      </c>
      <c r="B25" s="3" t="inlineStr">
        <is>
          <t>אירובי</t>
        </is>
      </c>
      <c r="C25" s="3" t="inlineStr">
        <is>
          <t>נחל</t>
        </is>
      </c>
      <c r="D25" s="3" t="n">
        <v>1.47</v>
      </c>
      <c r="E25" s="3" t="inlineStr">
        <is>
          <t>0:12:22</t>
        </is>
      </c>
      <c r="F25" s="3" t="n">
        <v>7.1</v>
      </c>
      <c r="G25" s="3" t="n">
        <v>106</v>
      </c>
      <c r="H25" s="3" t="n">
        <v>38</v>
      </c>
      <c r="I25" s="3" t="n">
        <v>3.18</v>
      </c>
      <c r="J25" s="3" t="inlineStr">
        <is>
          <t>0:00</t>
        </is>
      </c>
      <c r="K25" s="3" t="inlineStr">
        <is>
          <t>0:00</t>
        </is>
      </c>
      <c r="L25" s="3" t="inlineStr">
        <is>
          <t>0:00</t>
        </is>
      </c>
    </row>
    <row r="26" ht="22.05" customHeight="1" s="41">
      <c r="A26" s="2" t="inlineStr">
        <is>
          <t>13.02.2026</t>
        </is>
      </c>
      <c r="B26" s="4" t="inlineStr">
        <is>
          <t>טמפו</t>
        </is>
      </c>
      <c r="C26" s="4" t="inlineStr">
        <is>
          <t>נחל</t>
        </is>
      </c>
      <c r="D26" s="4" t="n">
        <v>8.109999999999999</v>
      </c>
      <c r="E26" s="4" t="inlineStr">
        <is>
          <t>1:00:09</t>
        </is>
      </c>
      <c r="F26" s="4" t="n">
        <v>8.1</v>
      </c>
      <c r="G26" s="4" t="n">
        <v>146</v>
      </c>
      <c r="H26" s="4" t="n">
        <v>42</v>
      </c>
      <c r="I26" s="4" t="n">
        <v>3.26</v>
      </c>
      <c r="J26" s="4" t="inlineStr">
        <is>
          <t>0:28:06</t>
        </is>
      </c>
      <c r="K26" s="4" t="inlineStr">
        <is>
          <t>0:31:24</t>
        </is>
      </c>
      <c r="L26" s="4" t="inlineStr">
        <is>
          <t>0:00</t>
        </is>
      </c>
    </row>
    <row r="27" ht="22.05" customHeight="1" s="41">
      <c r="A27" s="2" t="inlineStr">
        <is>
          <t>16.02.2026</t>
        </is>
      </c>
      <c r="B27" s="6" t="inlineStr">
        <is>
          <t>ספרינטים</t>
        </is>
      </c>
      <c r="C27" s="6" t="inlineStr">
        <is>
          <t>ים</t>
        </is>
      </c>
      <c r="D27" s="6" t="n">
        <v>8.800000000000001</v>
      </c>
      <c r="E27" s="6" t="inlineStr">
        <is>
          <t>1:17:04</t>
        </is>
      </c>
      <c r="F27" s="6" t="n">
        <v>6.8</v>
      </c>
      <c r="G27" s="6" t="n">
        <v>139</v>
      </c>
      <c r="H27" s="6" t="n">
        <v>39</v>
      </c>
      <c r="I27" s="6" t="n">
        <v>2.99</v>
      </c>
      <c r="J27" s="6" t="inlineStr">
        <is>
          <t>0:45:03</t>
        </is>
      </c>
      <c r="K27" s="6" t="inlineStr">
        <is>
          <t>0:18:48</t>
        </is>
      </c>
      <c r="L27" s="6" t="inlineStr">
        <is>
          <t>0:01:13</t>
        </is>
      </c>
    </row>
    <row r="28" ht="22.05" customHeight="1" s="41">
      <c r="A28" s="2" t="inlineStr">
        <is>
          <t>20.02.2026</t>
        </is>
      </c>
      <c r="B28" s="3" t="inlineStr">
        <is>
          <t>אירובי</t>
        </is>
      </c>
      <c r="C28" s="3" t="inlineStr">
        <is>
          <t>נחל</t>
        </is>
      </c>
      <c r="D28" s="3" t="n">
        <v>9.91</v>
      </c>
      <c r="E28" s="3" t="inlineStr">
        <is>
          <t>1:15:25</t>
        </is>
      </c>
      <c r="F28" s="3" t="n">
        <v>7.9</v>
      </c>
      <c r="G28" s="3" t="n">
        <v>136</v>
      </c>
      <c r="H28" s="3" t="n">
        <v>37</v>
      </c>
      <c r="I28" s="3" t="n">
        <v>3.54</v>
      </c>
      <c r="J28" s="3" t="inlineStr">
        <is>
          <t>1:05:17</t>
        </is>
      </c>
      <c r="K28" s="3" t="inlineStr">
        <is>
          <t>0:00:26</t>
        </is>
      </c>
      <c r="L28" s="3" t="inlineStr">
        <is>
          <t>0:00</t>
        </is>
      </c>
    </row>
    <row r="29" ht="22.05" customHeight="1" s="41">
      <c r="A29" s="2" t="inlineStr">
        <is>
          <t>23.02.2026</t>
        </is>
      </c>
      <c r="B29" s="4" t="inlineStr">
        <is>
          <t>טמפו</t>
        </is>
      </c>
      <c r="C29" s="4" t="inlineStr">
        <is>
          <t>ים</t>
        </is>
      </c>
      <c r="D29" s="4" t="n">
        <v>8.949999999999999</v>
      </c>
      <c r="E29" s="4" t="inlineStr">
        <is>
          <t>1:16:49</t>
        </is>
      </c>
      <c r="F29" s="4" t="n">
        <v>7</v>
      </c>
      <c r="G29" s="4" t="n">
        <v>144</v>
      </c>
      <c r="H29" s="4" t="n">
        <v>39</v>
      </c>
      <c r="I29" s="4" t="n">
        <v>3.06</v>
      </c>
      <c r="J29" s="4" t="inlineStr">
        <is>
          <t>0:39:01</t>
        </is>
      </c>
      <c r="K29" s="4" t="inlineStr">
        <is>
          <t>0:31:39</t>
        </is>
      </c>
      <c r="L29" s="4" t="inlineStr">
        <is>
          <t>0:00</t>
        </is>
      </c>
    </row>
    <row r="30" ht="22.05" customHeight="1" s="41">
      <c r="A30" s="2" t="inlineStr">
        <is>
          <t>25.02.2026</t>
        </is>
      </c>
      <c r="B30" s="3" t="inlineStr">
        <is>
          <t>אירובי</t>
        </is>
      </c>
      <c r="C30" s="3" t="inlineStr">
        <is>
          <t>ים</t>
        </is>
      </c>
      <c r="D30" s="3" t="n">
        <v>6.87</v>
      </c>
      <c r="E30" s="3" t="inlineStr">
        <is>
          <t>1:03:32</t>
        </is>
      </c>
      <c r="F30" s="3" t="n">
        <v>6.5</v>
      </c>
      <c r="G30" s="3" t="n">
        <v>138</v>
      </c>
      <c r="H30" s="3" t="n">
        <v>37</v>
      </c>
      <c r="I30" s="3" t="n">
        <v>2.88</v>
      </c>
      <c r="J30" s="3" t="inlineStr">
        <is>
          <t>0:54:41</t>
        </is>
      </c>
      <c r="K30" s="3" t="inlineStr">
        <is>
          <t>0:04:32</t>
        </is>
      </c>
      <c r="L30" s="3" t="inlineStr">
        <is>
          <t>0:00</t>
        </is>
      </c>
    </row>
    <row r="31">
      <c r="A31" s="27" t="inlineStr">
        <is>
          <t>24.04.2026</t>
        </is>
      </c>
      <c r="B31" s="28" t="inlineStr">
        <is>
          <t>אירובי</t>
        </is>
      </c>
      <c r="C31" s="28" t="inlineStr">
        <is>
          <t>ים</t>
        </is>
      </c>
      <c r="D31" s="28" t="n">
        <v>6.43</v>
      </c>
      <c r="E31" s="28" t="inlineStr">
        <is>
          <t>0:51:14</t>
        </is>
      </c>
      <c r="F31" s="28" t="n">
        <v>7.5</v>
      </c>
      <c r="G31" s="28" t="n">
        <v>136</v>
      </c>
      <c r="H31" s="28" t="n">
        <v>37</v>
      </c>
      <c r="I31" s="28" t="n">
        <v>3.44</v>
      </c>
      <c r="J31" s="28" t="inlineStr">
        <is>
          <t>0:46:19</t>
        </is>
      </c>
      <c r="K31" s="28" t="inlineStr">
        <is>
          <t>0:00:15</t>
        </is>
      </c>
      <c r="L31" s="28" t="inlineStr">
        <is>
          <t>0:00</t>
        </is>
      </c>
    </row>
    <row r="32">
      <c r="A32" s="27" t="inlineStr">
        <is>
          <t>25.04.2026</t>
        </is>
      </c>
      <c r="B32" s="28" t="inlineStr">
        <is>
          <t>אירובי</t>
        </is>
      </c>
      <c r="C32" s="28" t="inlineStr">
        <is>
          <t>ים</t>
        </is>
      </c>
      <c r="D32" s="28" t="n">
        <v>7.47</v>
      </c>
      <c r="E32" s="28" t="inlineStr">
        <is>
          <t>59:45</t>
        </is>
      </c>
      <c r="F32" s="28" t="n">
        <v>7.5</v>
      </c>
      <c r="G32" s="28" t="n">
        <v>134</v>
      </c>
      <c r="H32" s="28" t="n">
        <v>39</v>
      </c>
      <c r="I32" s="28" t="n">
        <v>3.21</v>
      </c>
      <c r="J32" s="28" t="inlineStr">
        <is>
          <t>37:46</t>
        </is>
      </c>
      <c r="K32" s="28" t="inlineStr">
        <is>
          <t>10:30</t>
        </is>
      </c>
      <c r="L32" s="28" t="inlineStr">
        <is>
          <t>0:00</t>
        </is>
      </c>
    </row>
    <row r="33">
      <c r="A33" s="27" t="inlineStr">
        <is>
          <t>27.04.2026</t>
        </is>
      </c>
      <c r="B33" s="28" t="inlineStr">
        <is>
          <t>אירובי</t>
        </is>
      </c>
      <c r="C33" s="28" t="inlineStr">
        <is>
          <t>ים</t>
        </is>
      </c>
      <c r="D33" s="28" t="n">
        <v>7.73</v>
      </c>
      <c r="E33" s="28" t="inlineStr">
        <is>
          <t>1:06:12</t>
        </is>
      </c>
      <c r="F33" s="28" t="n">
        <v>7</v>
      </c>
      <c r="G33" s="28" t="n">
        <v>135</v>
      </c>
      <c r="H33" s="28" t="n">
        <v>35</v>
      </c>
      <c r="I33" s="28" t="n">
        <v>3.33</v>
      </c>
      <c r="J33" s="28" t="inlineStr">
        <is>
          <t>59:29</t>
        </is>
      </c>
      <c r="K33" s="28" t="inlineStr">
        <is>
          <t>1:09</t>
        </is>
      </c>
      <c r="L33" s="28" t="inlineStr">
        <is>
          <t>0:00</t>
        </is>
      </c>
    </row>
    <row r="34">
      <c r="A34" s="27" t="inlineStr">
        <is>
          <t>29.04.2026</t>
        </is>
      </c>
      <c r="B34" s="28" t="inlineStr">
        <is>
          <t>אירובי</t>
        </is>
      </c>
      <c r="C34" s="28" t="inlineStr">
        <is>
          <t>ים</t>
        </is>
      </c>
      <c r="D34" s="28" t="n">
        <v>9.69</v>
      </c>
      <c r="E34" s="28" t="inlineStr">
        <is>
          <t>1:18:33</t>
        </is>
      </c>
      <c r="F34" s="28" t="n">
        <v>7.4</v>
      </c>
      <c r="G34" s="28" t="n">
        <v>136</v>
      </c>
      <c r="H34" s="28" t="n">
        <v>37</v>
      </c>
      <c r="I34" s="28" t="n">
        <v>3.34</v>
      </c>
      <c r="J34" s="28" t="inlineStr">
        <is>
          <t>1:12:00</t>
        </is>
      </c>
      <c r="K34" s="28" t="inlineStr">
        <is>
          <t>1:23</t>
        </is>
      </c>
      <c r="L34" s="28" t="inlineStr">
        <is>
          <t>0:00</t>
        </is>
      </c>
    </row>
    <row r="35">
      <c r="A35" s="27" t="inlineStr">
        <is>
          <t>01.05.2026</t>
        </is>
      </c>
      <c r="B35" s="28" t="inlineStr">
        <is>
          <t>טמפו</t>
        </is>
      </c>
      <c r="C35" s="28" t="inlineStr">
        <is>
          <t>ים</t>
        </is>
      </c>
      <c r="D35" s="28" t="n">
        <v>9.470000000000001</v>
      </c>
      <c r="E35" s="28" t="inlineStr">
        <is>
          <t>1:15:01</t>
        </is>
      </c>
      <c r="F35" s="28" t="n">
        <v>7.6</v>
      </c>
      <c r="G35" s="28" t="n">
        <v>135</v>
      </c>
      <c r="H35" s="28" t="n">
        <v>39</v>
      </c>
      <c r="I35" s="28" t="n">
        <v>3.21</v>
      </c>
      <c r="J35" s="28" t="inlineStr">
        <is>
          <t>47:13</t>
        </is>
      </c>
      <c r="K35" s="28" t="inlineStr">
        <is>
          <t>12:40</t>
        </is>
      </c>
      <c r="L35" s="28" t="inlineStr">
        <is>
          <t>0:00</t>
        </is>
      </c>
    </row>
    <row r="36">
      <c r="A36" s="27" t="inlineStr">
        <is>
          <t>02.05.2026</t>
        </is>
      </c>
      <c r="B36" s="28" t="inlineStr">
        <is>
          <t>אירובי ארוך</t>
        </is>
      </c>
      <c r="C36" s="28" t="inlineStr">
        <is>
          <t>ים</t>
        </is>
      </c>
      <c r="D36" s="28" t="n">
        <v>11.17</v>
      </c>
      <c r="E36" s="28" t="inlineStr">
        <is>
          <t>1:27:38</t>
        </is>
      </c>
      <c r="F36" s="28" t="n">
        <v>7.6</v>
      </c>
      <c r="G36" s="28" t="n">
        <v>128</v>
      </c>
      <c r="H36" s="28" t="n">
        <v>40</v>
      </c>
      <c r="I36" s="28" t="n">
        <v>3.18</v>
      </c>
      <c r="J36" s="28" t="inlineStr">
        <is>
          <t>1:04:59</t>
        </is>
      </c>
      <c r="K36" s="28" t="inlineStr">
        <is>
          <t>0:00</t>
        </is>
      </c>
      <c r="L36" s="28" t="inlineStr">
        <is>
          <t>0:00</t>
        </is>
      </c>
    </row>
    <row r="37">
      <c r="A37" s="27" t="inlineStr">
        <is>
          <t>11.05.2026</t>
        </is>
      </c>
      <c r="B37" s="28" t="inlineStr">
        <is>
          <t>טמפו</t>
        </is>
      </c>
      <c r="C37" s="28" t="inlineStr">
        <is>
          <t>ים</t>
        </is>
      </c>
      <c r="D37" s="28" t="n">
        <v>9.09</v>
      </c>
      <c r="E37" s="28" t="inlineStr">
        <is>
          <t>1:11:59</t>
        </is>
      </c>
      <c r="F37" s="28" t="n">
        <v>7.6</v>
      </c>
      <c r="G37" s="28" t="n">
        <v>135</v>
      </c>
      <c r="H37" s="28" t="n">
        <v>41</v>
      </c>
      <c r="I37" s="28" t="n">
        <v>3.05</v>
      </c>
      <c r="J37" s="28" t="inlineStr">
        <is>
          <t>37:21</t>
        </is>
      </c>
      <c r="K37" s="28" t="inlineStr">
        <is>
          <t>19:09</t>
        </is>
      </c>
      <c r="L37" s="28" t="inlineStr">
        <is>
          <t>0:00</t>
        </is>
      </c>
    </row>
    <row r="38">
      <c r="A38" s="27" t="inlineStr">
        <is>
          <t>13.05.2026</t>
        </is>
      </c>
      <c r="B38" s="28" t="inlineStr">
        <is>
          <t>אירובי</t>
        </is>
      </c>
      <c r="C38" s="28" t="inlineStr">
        <is>
          <t>ים</t>
        </is>
      </c>
      <c r="D38" s="28" t="n">
        <v>6.61</v>
      </c>
      <c r="E38" s="28" t="inlineStr">
        <is>
          <t>1:07:25</t>
        </is>
      </c>
      <c r="F38" s="28" t="n">
        <v>5.9</v>
      </c>
      <c r="G38" s="28" t="n">
        <v>141</v>
      </c>
      <c r="H38" s="28" t="n">
        <v>37</v>
      </c>
      <c r="I38" s="28" t="n">
        <v>2.66</v>
      </c>
      <c r="J38" s="28" t="inlineStr">
        <is>
          <t>51:06</t>
        </is>
      </c>
      <c r="K38" s="28" t="inlineStr">
        <is>
          <t>11:46</t>
        </is>
      </c>
      <c r="L38" s="28" t="inlineStr">
        <is>
          <t>0:00</t>
        </is>
      </c>
    </row>
    <row r="39">
      <c r="A39" s="27" t="inlineStr">
        <is>
          <t>15.05.2026</t>
        </is>
      </c>
      <c r="B39" s="28" t="inlineStr">
        <is>
          <t>אירובי</t>
        </is>
      </c>
      <c r="C39" s="28" t="inlineStr">
        <is>
          <t>ים</t>
        </is>
      </c>
      <c r="D39" s="28" t="n">
        <v>8.34</v>
      </c>
      <c r="E39" s="28" t="inlineStr">
        <is>
          <t>1:12:37</t>
        </is>
      </c>
      <c r="F39" s="28" t="n">
        <v>6.9</v>
      </c>
      <c r="G39" s="28" t="n">
        <v>137</v>
      </c>
      <c r="H39" s="28" t="n">
        <v>37</v>
      </c>
      <c r="I39" s="28" t="n">
        <v>3.13</v>
      </c>
      <c r="J39" s="28" t="inlineStr">
        <is>
          <t>50:53</t>
        </is>
      </c>
      <c r="K39" s="28" t="inlineStr">
        <is>
          <t>12:47</t>
        </is>
      </c>
      <c r="L39" s="28" t="inlineStr">
        <is>
          <t>0:00</t>
        </is>
      </c>
    </row>
    <row r="40">
      <c r="A40" s="27" t="inlineStr">
        <is>
          <t>16.05.2026</t>
        </is>
      </c>
      <c r="B40" s="28" t="inlineStr">
        <is>
          <t>אירובי ארוך</t>
        </is>
      </c>
      <c r="C40" s="28" t="inlineStr">
        <is>
          <t>נחל</t>
        </is>
      </c>
      <c r="D40" s="28" t="n">
        <v>14.62</v>
      </c>
      <c r="E40" s="28" t="inlineStr">
        <is>
          <t>1:49:21</t>
        </is>
      </c>
      <c r="F40" s="28" t="n">
        <v>8</v>
      </c>
      <c r="G40" s="28" t="n">
        <v>135</v>
      </c>
      <c r="H40" s="28" t="n">
        <v>41</v>
      </c>
      <c r="I40" s="28" t="n">
        <v>3.29</v>
      </c>
      <c r="J40" s="28" t="inlineStr">
        <is>
          <t>1:41:37</t>
        </is>
      </c>
      <c r="K40" s="28" t="inlineStr">
        <is>
          <t>0:00</t>
        </is>
      </c>
      <c r="L40" s="28" t="inlineStr">
        <is>
          <t>0:00</t>
        </is>
      </c>
    </row>
    <row r="41">
      <c r="A41" s="27" t="inlineStr">
        <is>
          <t>22.05.2026</t>
        </is>
      </c>
      <c r="B41" s="28" t="inlineStr">
        <is>
          <t>אירובי</t>
        </is>
      </c>
      <c r="C41" s="28" t="inlineStr">
        <is>
          <t>נחל</t>
        </is>
      </c>
      <c r="D41" s="28" t="n">
        <v>10.21</v>
      </c>
      <c r="E41" s="28" t="inlineStr">
        <is>
          <t>1:17:08</t>
        </is>
      </c>
      <c r="F41" s="28" t="n">
        <v>7.9</v>
      </c>
      <c r="G41" s="28" t="n">
        <v>135</v>
      </c>
      <c r="H41" s="28" t="n">
        <v>40</v>
      </c>
      <c r="I41" s="28" t="n">
        <v>3.35</v>
      </c>
      <c r="J41" s="28" t="inlineStr">
        <is>
          <t>1:10:09</t>
        </is>
      </c>
      <c r="K41" s="28" t="inlineStr">
        <is>
          <t>0:10</t>
        </is>
      </c>
      <c r="L41" s="28" t="inlineStr">
        <is>
          <t>0:00</t>
        </is>
      </c>
    </row>
    <row r="42">
      <c r="A42" s="27" t="inlineStr">
        <is>
          <t>23.05.2026</t>
        </is>
      </c>
      <c r="B42" s="28" t="inlineStr">
        <is>
          <t>אירובי ארוך</t>
        </is>
      </c>
      <c r="C42" s="28" t="inlineStr">
        <is>
          <t>נחל</t>
        </is>
      </c>
      <c r="D42" s="28" t="n">
        <v>14.81</v>
      </c>
      <c r="E42" s="28" t="inlineStr">
        <is>
          <t>1:48:48</t>
        </is>
      </c>
      <c r="F42" s="28" t="n">
        <v>8.199999999999999</v>
      </c>
      <c r="G42" s="28" t="n">
        <v>137</v>
      </c>
      <c r="H42" s="28" t="n">
        <v>42</v>
      </c>
      <c r="I42" s="28" t="n">
        <v>3.31</v>
      </c>
      <c r="J42" s="28" t="inlineStr">
        <is>
          <t>1:39:11</t>
        </is>
      </c>
      <c r="K42" s="28" t="inlineStr">
        <is>
          <t>0:58</t>
        </is>
      </c>
      <c r="L42" s="28" t="inlineStr">
        <is>
          <t>0:00</t>
        </is>
      </c>
    </row>
    <row r="43">
      <c r="A43" s="27" t="inlineStr">
        <is>
          <t>25.05.2026</t>
        </is>
      </c>
      <c r="B43" s="28" t="inlineStr">
        <is>
          <t>טמפו</t>
        </is>
      </c>
      <c r="C43" s="28" t="inlineStr">
        <is>
          <t>ים</t>
        </is>
      </c>
      <c r="D43" s="28" t="n">
        <v>9.529999999999999</v>
      </c>
      <c r="E43" s="28" t="inlineStr">
        <is>
          <t>1:15:02</t>
        </is>
      </c>
      <c r="F43" s="28" t="n">
        <v>7.6</v>
      </c>
      <c r="G43" s="28" t="n">
        <v>138</v>
      </c>
      <c r="H43" s="28" t="n">
        <v>40</v>
      </c>
      <c r="I43" s="28" t="n">
        <v>3.18</v>
      </c>
      <c r="J43" s="28" t="inlineStr">
        <is>
          <t>43:34</t>
        </is>
      </c>
      <c r="K43" s="28" t="inlineStr">
        <is>
          <t>20:44</t>
        </is>
      </c>
      <c r="L43" s="28" t="inlineStr">
        <is>
          <t>0:00</t>
        </is>
      </c>
    </row>
    <row r="44">
      <c r="A44" s="27" t="inlineStr">
        <is>
          <t>27.05.2026</t>
        </is>
      </c>
      <c r="B44" s="28" t="inlineStr">
        <is>
          <t>טמפו</t>
        </is>
      </c>
      <c r="C44" s="28" t="inlineStr">
        <is>
          <t>ים</t>
        </is>
      </c>
      <c r="D44" s="28" t="n">
        <v>8.81</v>
      </c>
      <c r="E44" s="28" t="inlineStr">
        <is>
          <t>1:14:13</t>
        </is>
      </c>
      <c r="F44" s="28" t="n">
        <v>7.1</v>
      </c>
      <c r="G44" s="28" t="n">
        <v>139</v>
      </c>
      <c r="H44" s="28" t="n">
        <v>39</v>
      </c>
      <c r="I44" s="28" t="n">
        <v>3.05</v>
      </c>
      <c r="J44" s="28" t="inlineStr">
        <is>
          <t>39:06</t>
        </is>
      </c>
      <c r="K44" s="28" t="inlineStr">
        <is>
          <t>23:53</t>
        </is>
      </c>
      <c r="L44" s="28" t="inlineStr">
        <is>
          <t>0:00</t>
        </is>
      </c>
    </row>
    <row r="45">
      <c r="A45" s="27" t="inlineStr">
        <is>
          <t>30.05.2026</t>
        </is>
      </c>
      <c r="B45" s="28" t="inlineStr">
        <is>
          <t>ספרינטים</t>
        </is>
      </c>
      <c r="C45" s="28" t="inlineStr">
        <is>
          <t>ים</t>
        </is>
      </c>
      <c r="D45" s="28" t="n">
        <v>5.73</v>
      </c>
      <c r="E45" s="28" t="inlineStr">
        <is>
          <t>48:18</t>
        </is>
      </c>
      <c r="F45" s="28" t="n">
        <v>7.1</v>
      </c>
      <c r="G45" s="28" t="n">
        <v>171</v>
      </c>
      <c r="H45" s="28" t="n">
        <v>45</v>
      </c>
      <c r="I45" s="28" t="n">
        <v>2.68</v>
      </c>
      <c r="J45" s="28" t="inlineStr">
        <is>
          <t>0:41</t>
        </is>
      </c>
      <c r="K45" s="28" t="inlineStr">
        <is>
          <t>4:07</t>
        </is>
      </c>
      <c r="L45" s="28" t="inlineStr">
        <is>
          <t>43:09</t>
        </is>
      </c>
    </row>
    <row r="46">
      <c r="A46" s="27" t="inlineStr">
        <is>
          <t>01.06.2026</t>
        </is>
      </c>
      <c r="B46" s="28" t="inlineStr">
        <is>
          <t>טמפו</t>
        </is>
      </c>
      <c r="C46" s="28" t="inlineStr">
        <is>
          <t>ים</t>
        </is>
      </c>
      <c r="D46" s="28" t="n">
        <v>9.27</v>
      </c>
      <c r="E46" s="28" t="inlineStr">
        <is>
          <t>1:14:12</t>
        </is>
      </c>
      <c r="F46" s="28" t="n">
        <v>7.5</v>
      </c>
      <c r="G46" s="28" t="n">
        <v>143</v>
      </c>
      <c r="H46" s="28" t="n">
        <v>38</v>
      </c>
      <c r="I46" s="28" t="n">
        <v>3.29</v>
      </c>
      <c r="J46" s="28" t="inlineStr">
        <is>
          <t>36:09</t>
        </is>
      </c>
      <c r="K46" s="28" t="inlineStr">
        <is>
          <t>28:46</t>
        </is>
      </c>
      <c r="L46" s="28" t="inlineStr">
        <is>
          <t>0:00</t>
        </is>
      </c>
    </row>
    <row r="47">
      <c r="A47" s="27" t="inlineStr">
        <is>
          <t>03.06.2026</t>
        </is>
      </c>
      <c r="B47" s="28" t="inlineStr">
        <is>
          <t>טמפו</t>
        </is>
      </c>
      <c r="C47" s="28" t="inlineStr">
        <is>
          <t>ים</t>
        </is>
      </c>
      <c r="D47" s="28" t="n">
        <v>9.449999999999999</v>
      </c>
      <c r="E47" s="28" t="inlineStr">
        <is>
          <t>1:15:03</t>
        </is>
      </c>
      <c r="F47" s="28" t="n">
        <v>7.6</v>
      </c>
      <c r="G47" s="28" t="n">
        <v>141</v>
      </c>
      <c r="H47" s="28" t="n">
        <v>38</v>
      </c>
      <c r="I47" s="28" t="n">
        <v>3.31</v>
      </c>
      <c r="J47" s="28" t="inlineStr">
        <is>
          <t>37:59</t>
        </is>
      </c>
      <c r="K47" s="28" t="inlineStr">
        <is>
          <t>26:35</t>
        </is>
      </c>
      <c r="L47" s="28" t="inlineStr">
        <is>
          <t>0:00</t>
        </is>
      </c>
    </row>
    <row r="48">
      <c r="A48" s="27" t="inlineStr">
        <is>
          <t>05.06.2026</t>
        </is>
      </c>
      <c r="B48" s="28" t="inlineStr">
        <is>
          <t>אירובי</t>
        </is>
      </c>
      <c r="C48" s="28" t="inlineStr">
        <is>
          <t>ים</t>
        </is>
      </c>
      <c r="D48" s="28" t="n">
        <v>7.23</v>
      </c>
      <c r="E48" s="28" t="inlineStr">
        <is>
          <t>58:04</t>
        </is>
      </c>
      <c r="F48" s="28" t="n">
        <v>7.5</v>
      </c>
      <c r="G48" s="28" t="n">
        <v>120</v>
      </c>
      <c r="H48" s="28" t="n">
        <v>37</v>
      </c>
      <c r="I48" s="28" t="n">
        <v>3.47</v>
      </c>
      <c r="J48" s="28" t="inlineStr">
        <is>
          <t>11:34</t>
        </is>
      </c>
      <c r="K48" s="28" t="inlineStr">
        <is>
          <t>0:00</t>
        </is>
      </c>
      <c r="L48" s="28" t="inlineStr">
        <is>
          <t>0:00</t>
        </is>
      </c>
    </row>
    <row r="49">
      <c r="A49" s="27" t="inlineStr">
        <is>
          <t>06.06.2026</t>
        </is>
      </c>
      <c r="B49" s="28" t="inlineStr">
        <is>
          <t>ספרינטים</t>
        </is>
      </c>
      <c r="C49" s="28" t="inlineStr">
        <is>
          <t>ים</t>
        </is>
      </c>
      <c r="D49" s="28" t="n">
        <v>6.61</v>
      </c>
      <c r="E49" s="28" t="inlineStr">
        <is>
          <t>2:01:58</t>
        </is>
      </c>
      <c r="F49" s="28" t="n">
        <v>3.3</v>
      </c>
      <c r="G49" s="28" t="n">
        <v>161</v>
      </c>
      <c r="H49" s="28" t="n">
        <v>44</v>
      </c>
      <c r="I49" s="28" t="n">
        <v>4.53</v>
      </c>
      <c r="J49" s="28" t="inlineStr">
        <is>
          <t>1:08</t>
        </is>
      </c>
      <c r="K49" s="28" t="inlineStr">
        <is>
          <t>57:53</t>
        </is>
      </c>
      <c r="L49" s="28" t="inlineStr">
        <is>
          <t>59:20</t>
        </is>
      </c>
    </row>
  </sheetData>
  <autoFilter ref="A2:L31"/>
  <mergeCells count="1">
    <mergeCell ref="A1:L1"/>
  </mergeCells>
  <conditionalFormatting sqref="A3:L999">
    <cfRule type="expression" priority="1" dxfId="3">
      <formula>$B3="אירובי"</formula>
    </cfRule>
    <cfRule type="expression" priority="2" dxfId="2">
      <formula>$B3="אירובי ארוך"</formula>
    </cfRule>
    <cfRule type="expression" priority="3" dxfId="1">
      <formula>$B3="טמפו"</formula>
    </cfRule>
    <cfRule type="expression" priority="4" dxfId="0">
      <formula>$B3="ספרינטים"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rightToLeft="1" topLeftCell="A37" workbookViewId="0">
      <selection activeCell="F37" sqref="F37"/>
    </sheetView>
  </sheetViews>
  <sheetFormatPr baseColWidth="8" defaultRowHeight="14.4"/>
  <cols>
    <col width="16" customWidth="1" style="41" min="1" max="2"/>
    <col width="12" customWidth="1" style="41" min="3" max="7"/>
  </cols>
  <sheetData>
    <row r="1" ht="34.05" customHeight="1" s="41">
      <c r="A1" s="42" t="inlineStr">
        <is>
          <t>📅 SUP — סיכום חודשי לפי סוג אימון 📋</t>
        </is>
      </c>
    </row>
    <row r="2" ht="31.95" customHeight="1" s="41">
      <c r="A2" s="7" t="inlineStr">
        <is>
          <t>חודש</t>
        </is>
      </c>
      <c r="B2" s="7" t="inlineStr">
        <is>
          <t>סוג אימון</t>
        </is>
      </c>
      <c r="C2" s="7" t="inlineStr">
        <is>
          <t>אימונים</t>
        </is>
      </c>
      <c r="D2" s="7" t="inlineStr">
        <is>
          <t>מהירות
ממוצע</t>
        </is>
      </c>
      <c r="E2" s="7" t="inlineStr">
        <is>
          <t>דופק
ממוצע</t>
        </is>
      </c>
      <c r="F2" s="7" t="inlineStr">
        <is>
          <t>DPS
ממוצע</t>
        </is>
      </c>
      <c r="G2" s="7" t="inlineStr">
        <is>
          <t>מרחק
כולל</t>
        </is>
      </c>
    </row>
    <row r="3" ht="19.95" customHeight="1" s="41">
      <c r="A3" s="8" t="inlineStr">
        <is>
          <t>דצמבר 2025</t>
        </is>
      </c>
      <c r="B3" s="9" t="inlineStr">
        <is>
          <t>אירובי</t>
        </is>
      </c>
      <c r="C3" s="29">
        <f>IFERROR(COUNTIFS('נתוני אימונים'!A:A,"*.12.2025*",'נתוני אימונים'!B:B,"אירובי"),0)</f>
        <v/>
      </c>
      <c r="D3" s="10">
        <f>IFERROR(AVERAGEIFS('נתוני אימונים'!F:F,'נתוני אימונים'!A:A,"*.12.2025*",'נתוני אימונים'!B:B,"אירובי"),"")</f>
        <v/>
      </c>
      <c r="E3" s="29">
        <f>IFERROR(AVERAGEIFS('נתוני אימונים'!G:G,'נתוני אימונים'!A:A,"*.12.2025*",'נתוני אימונים'!B:B,"אירובי"),"")</f>
        <v/>
      </c>
      <c r="F3" s="10">
        <f>IFERROR(AVERAGEIFS('נתוני אימונים'!I:I,'נתוני אימונים'!A:A,"*.12.2025*",'נתוני אימונים'!B:B,"אירובי"),"")</f>
        <v/>
      </c>
      <c r="G3" s="10">
        <f>IFERROR(SUMIFS('נתוני אימונים'!D:D,'נתוני אימונים'!A:A,"*.12.2025*",'נתוני אימונים'!B:B,"אירובי"),"")</f>
        <v/>
      </c>
    </row>
    <row r="4" ht="19.95" customHeight="1" s="41">
      <c r="A4" s="8" t="inlineStr">
        <is>
          <t>דצמבר 2025</t>
        </is>
      </c>
      <c r="B4" s="11" t="inlineStr">
        <is>
          <t>אירובי ארוך</t>
        </is>
      </c>
      <c r="C4" s="30">
        <f>IFERROR(COUNTIFS('נתוני אימונים'!A:A,"*.12.2025*",'נתוני אימונים'!B:B,"אירובי ארוך"),0)</f>
        <v/>
      </c>
      <c r="D4" s="12">
        <f>IFERROR(AVERAGEIFS('נתוני אימונים'!F:F,'נתוני אימונים'!A:A,"*.12.2025*",'נתוני אימונים'!B:B,"אירובי ארוך"),"")</f>
        <v/>
      </c>
      <c r="E4" s="30">
        <f>IFERROR(AVERAGEIFS('נתוני אימונים'!G:G,'נתוני אימונים'!A:A,"*.12.2025*",'נתוני אימונים'!B:B,"אירובי ארוך"),"")</f>
        <v/>
      </c>
      <c r="F4" s="12">
        <f>IFERROR(AVERAGEIFS('נתוני אימונים'!I:I,'נתוני אימונים'!A:A,"*.12.2025*",'נתוני אימונים'!B:B,"אירובי ארוך"),"")</f>
        <v/>
      </c>
      <c r="G4" s="12">
        <f>IFERROR(SUMIFS('נתוני אימונים'!D:D,'נתוני אימונים'!A:A,"*.12.2025*",'נתוני אימונים'!B:B,"אירובי ארוך"),"")</f>
        <v/>
      </c>
    </row>
    <row r="5" ht="19.95" customHeight="1" s="41">
      <c r="A5" s="8" t="inlineStr">
        <is>
          <t>דצמבר 2025</t>
        </is>
      </c>
      <c r="B5" s="13" t="inlineStr">
        <is>
          <t>טמפו</t>
        </is>
      </c>
      <c r="C5" s="31">
        <f>IFERROR(COUNTIFS('נתוני אימונים'!A:A,"*.12.2025*",'נתוני אימונים'!B:B,"טמפו"),0)</f>
        <v/>
      </c>
      <c r="D5" s="14">
        <f>IFERROR(AVERAGEIFS('נתוני אימונים'!F:F,'נתוני אימונים'!A:A,"*.12.2025*",'נתוני אימונים'!B:B,"טמפו"),"")</f>
        <v/>
      </c>
      <c r="E5" s="31">
        <f>IFERROR(AVERAGEIFS('נתוני אימונים'!G:G,'נתוני אימונים'!A:A,"*.12.2025*",'נתוני אימונים'!B:B,"טמפו"),"")</f>
        <v/>
      </c>
      <c r="F5" s="14">
        <f>IFERROR(AVERAGEIFS('נתוני אימונים'!I:I,'נתוני אימונים'!A:A,"*.12.2025*",'נתוני אימונים'!B:B,"טמפו"),"")</f>
        <v/>
      </c>
      <c r="G5" s="14">
        <f>IFERROR(SUMIFS('נתוני אימונים'!D:D,'נתוני אימונים'!A:A,"*.12.2025*",'נתוני אימונים'!B:B,"טמפו"),"")</f>
        <v/>
      </c>
    </row>
    <row r="6" ht="19.95" customHeight="1" s="41">
      <c r="A6" s="8" t="inlineStr">
        <is>
          <t>דצמבר 2025</t>
        </is>
      </c>
      <c r="B6" s="15" t="inlineStr">
        <is>
          <t>ספרינטים</t>
        </is>
      </c>
      <c r="C6" s="32">
        <f>IFERROR(COUNTIFS('נתוני אימונים'!A:A,"*.12.2025*",'נתוני אימונים'!B:B,"ספרינטים"),0)</f>
        <v/>
      </c>
      <c r="D6" s="16">
        <f>IFERROR(AVERAGEIFS('נתוני אימונים'!F:F,'נתוני אימונים'!A:A,"*.12.2025*",'נתוני אימונים'!B:B,"ספרינטים"),"")</f>
        <v/>
      </c>
      <c r="E6" s="32">
        <f>IFERROR(AVERAGEIFS('נתוני אימונים'!G:G,'נתוני אימונים'!A:A,"*.12.2025*",'נתוני אימונים'!B:B,"ספרינטים"),"")</f>
        <v/>
      </c>
      <c r="F6" s="16">
        <f>IFERROR(AVERAGEIFS('נתוני אימונים'!I:I,'נתוני אימונים'!A:A,"*.12.2025*",'נתוני אימונים'!B:B,"ספרינטים"),"")</f>
        <v/>
      </c>
      <c r="G6" s="16">
        <f>IFERROR(SUMIFS('נתוני אימונים'!D:D,'נתוני אימונים'!A:A,"*.12.2025*",'נתוני אימונים'!B:B,"ספרינטים"),"")</f>
        <v/>
      </c>
    </row>
    <row r="7" ht="22.05" customHeight="1" s="41">
      <c r="A7" s="17" t="inlineStr">
        <is>
          <t>דצמבר 2025</t>
        </is>
      </c>
      <c r="B7" s="17" t="inlineStr">
        <is>
          <t>סה״כ חודש</t>
        </is>
      </c>
      <c r="C7" s="33">
        <f>IFERROR(COUNTIFS('נתוני אימונים'!A:A,"*.12.2025*"),0)</f>
        <v/>
      </c>
      <c r="D7" s="18">
        <f>IFERROR(AVERAGEIFS('נתוני אימונים'!F:F,'נתוני אימונים'!A:A,"*.12.2025*"),"")</f>
        <v/>
      </c>
      <c r="E7" s="33">
        <f>IFERROR(AVERAGEIFS('נתוני אימונים'!G:G,'נתוני אימונים'!A:A,"*.12.2025*"),"")</f>
        <v/>
      </c>
      <c r="F7" s="18">
        <f>IFERROR(AVERAGEIFS('נתוני אימונים'!I:I,'נתוני אימונים'!A:A,"*.12.2025*"),"")</f>
        <v/>
      </c>
      <c r="G7" s="18">
        <f>IFERROR(SUMIFS('נתוני אימונים'!D:D,'נתוני אימונים'!A:A,"*.12.2025*"),"")</f>
        <v/>
      </c>
    </row>
    <row r="8"/>
    <row r="9"/>
    <row r="10" ht="19.95" customHeight="1" s="41">
      <c r="A10" s="8" t="inlineStr">
        <is>
          <t>ינואר 2026</t>
        </is>
      </c>
      <c r="B10" s="9" t="inlineStr">
        <is>
          <t>אירובי</t>
        </is>
      </c>
      <c r="C10" s="29">
        <f>IFERROR(COUNTIFS('נתוני אימונים'!A:A,"*.01.2026*",'נתוני אימונים'!B:B,"אירובי"),0)</f>
        <v/>
      </c>
      <c r="D10" s="10">
        <f>IFERROR(AVERAGEIFS('נתוני אימונים'!F:F,'נתוני אימונים'!A:A,"*.01.2026*",'נתוני אימונים'!B:B,"אירובי"),"")</f>
        <v/>
      </c>
      <c r="E10" s="29">
        <f>IFERROR(AVERAGEIFS('נתוני אימונים'!G:G,'נתוני אימונים'!A:A,"*.01.2026*",'נתוני אימונים'!B:B,"אירובי"),"")</f>
        <v/>
      </c>
      <c r="F10" s="10">
        <f>IFERROR(AVERAGEIFS('נתוני אימונים'!I:I,'נתוני אימונים'!A:A,"*.01.2026*",'נתוני אימונים'!B:B,"אירובי"),"")</f>
        <v/>
      </c>
      <c r="G10" s="10">
        <f>IFERROR(SUMIFS('נתוני אימונים'!D:D,'נתוני אימונים'!A:A,"*.01.2026*",'נתוני אימונים'!B:B,"אירובי"),"")</f>
        <v/>
      </c>
    </row>
    <row r="11" ht="19.95" customHeight="1" s="41">
      <c r="A11" s="8" t="inlineStr">
        <is>
          <t>ינואר 2026</t>
        </is>
      </c>
      <c r="B11" s="11" t="inlineStr">
        <is>
          <t>אירובי ארוך</t>
        </is>
      </c>
      <c r="C11" s="30">
        <f>IFERROR(COUNTIFS('נתוני אימונים'!A:A,"*.01.2026*",'נתוני אימונים'!B:B,"אירובי ארוך"),0)</f>
        <v/>
      </c>
      <c r="D11" s="12">
        <f>IFERROR(AVERAGEIFS('נתוני אימונים'!F:F,'נתוני אימונים'!A:A,"*.01.2026*",'נתוני אימונים'!B:B,"אירובי ארוך"),"")</f>
        <v/>
      </c>
      <c r="E11" s="30">
        <f>IFERROR(AVERAGEIFS('נתוני אימונים'!G:G,'נתוני אימונים'!A:A,"*.01.2026*",'נתוני אימונים'!B:B,"אירובי ארוך"),"")</f>
        <v/>
      </c>
      <c r="F11" s="12">
        <f>IFERROR(AVERAGEIFS('נתוני אימונים'!I:I,'נתוני אימונים'!A:A,"*.01.2026*",'נתוני אימונים'!B:B,"אירובי ארוך"),"")</f>
        <v/>
      </c>
      <c r="G11" s="12">
        <f>IFERROR(SUMIFS('נתוני אימונים'!D:D,'נתוני אימונים'!A:A,"*.01.2026*",'נתוני אימונים'!B:B,"אירובי ארוך"),"")</f>
        <v/>
      </c>
    </row>
    <row r="12" ht="19.95" customHeight="1" s="41">
      <c r="A12" s="8" t="inlineStr">
        <is>
          <t>ינואר 2026</t>
        </is>
      </c>
      <c r="B12" s="13" t="inlineStr">
        <is>
          <t>טמפו</t>
        </is>
      </c>
      <c r="C12" s="31">
        <f>IFERROR(COUNTIFS('נתוני אימונים'!A:A,"*.01.2026*",'נתוני אימונים'!B:B,"טמפו"),0)</f>
        <v/>
      </c>
      <c r="D12" s="14">
        <f>IFERROR(AVERAGEIFS('נתוני אימונים'!F:F,'נתוני אימונים'!A:A,"*.01.2026*",'נתוני אימונים'!B:B,"טמפו"),"")</f>
        <v/>
      </c>
      <c r="E12" s="31">
        <f>IFERROR(AVERAGEIFS('נתוני אימונים'!G:G,'נתוני אימונים'!A:A,"*.01.2026*",'נתוני אימונים'!B:B,"טמפו"),"")</f>
        <v/>
      </c>
      <c r="F12" s="14">
        <f>IFERROR(AVERAGEIFS('נתוני אימונים'!I:I,'נתוני אימונים'!A:A,"*.01.2026*",'נתוני אימונים'!B:B,"טמפו"),"")</f>
        <v/>
      </c>
      <c r="G12" s="14">
        <f>IFERROR(SUMIFS('נתוני אימונים'!D:D,'נתוני אימונים'!A:A,"*.01.2026*",'נתוני אימונים'!B:B,"טמפו"),"")</f>
        <v/>
      </c>
    </row>
    <row r="13" ht="19.95" customHeight="1" s="41">
      <c r="A13" s="8" t="inlineStr">
        <is>
          <t>ינואר 2026</t>
        </is>
      </c>
      <c r="B13" s="15" t="inlineStr">
        <is>
          <t>ספרינטים</t>
        </is>
      </c>
      <c r="C13" s="32">
        <f>IFERROR(COUNTIFS('נתוני אימונים'!A:A,"*.01.2026*",'נתוני אימונים'!B:B,"ספרינטים"),0)</f>
        <v/>
      </c>
      <c r="D13" s="16">
        <f>IFERROR(AVERAGEIFS('נתוני אימונים'!F:F,'נתוני אימונים'!A:A,"*.01.2026*",'נתוני אימונים'!B:B,"ספרינטים"),"")</f>
        <v/>
      </c>
      <c r="E13" s="32">
        <f>IFERROR(AVERAGEIFS('נתוני אימונים'!G:G,'נתוני אימונים'!A:A,"*.01.2026*",'נתוני אימונים'!B:B,"ספרינטים"),"")</f>
        <v/>
      </c>
      <c r="F13" s="16">
        <f>IFERROR(AVERAGEIFS('נתוני אימונים'!I:I,'נתוני אימונים'!A:A,"*.01.2026*",'נתוני אימונים'!B:B,"ספרינטים"),"")</f>
        <v/>
      </c>
      <c r="G13" s="16">
        <f>IFERROR(SUMIFS('נתוני אימונים'!D:D,'נתוני אימונים'!A:A,"*.01.2026*",'נתוני אימונים'!B:B,"ספרינטים"),"")</f>
        <v/>
      </c>
    </row>
    <row r="14" ht="22.05" customHeight="1" s="41">
      <c r="A14" s="17" t="inlineStr">
        <is>
          <t>ינואר 2026</t>
        </is>
      </c>
      <c r="B14" s="17" t="inlineStr">
        <is>
          <t>סה״כ חודש</t>
        </is>
      </c>
      <c r="C14" s="33">
        <f>IFERROR(COUNTIFS('נתוני אימונים'!A:A,"*.01.2026*"),0)</f>
        <v/>
      </c>
      <c r="D14" s="18">
        <f>IFERROR(AVERAGEIFS('נתוני אימונים'!F:F,'נתוני אימונים'!A:A,"*.01.2026*"),"")</f>
        <v/>
      </c>
      <c r="E14" s="33">
        <f>IFERROR(AVERAGEIFS('נתוני אימונים'!G:G,'נתוני אימונים'!A:A,"*.01.2026*"),"")</f>
        <v/>
      </c>
      <c r="F14" s="18">
        <f>IFERROR(AVERAGEIFS('נתוני אימונים'!I:I,'נתוני אימונים'!A:A,"*.01.2026*"),"")</f>
        <v/>
      </c>
      <c r="G14" s="18">
        <f>IFERROR(SUMIFS('נתוני אימונים'!D:D,'נתוני אימונים'!A:A,"*.01.2026*"),"")</f>
        <v/>
      </c>
    </row>
    <row r="15"/>
    <row r="16"/>
    <row r="17" ht="19.95" customHeight="1" s="41">
      <c r="A17" s="8" t="inlineStr">
        <is>
          <t>פברואר 2026</t>
        </is>
      </c>
      <c r="B17" s="9" t="inlineStr">
        <is>
          <t>אירובי</t>
        </is>
      </c>
      <c r="C17" s="29">
        <f>IFERROR(COUNTIFS('נתוני אימונים'!A:A,"*.02.2026*",'נתוני אימונים'!B:B,"אירובי"),0)</f>
        <v/>
      </c>
      <c r="D17" s="10">
        <f>IFERROR(AVERAGEIFS('נתוני אימונים'!F:F,'נתוני אימונים'!A:A,"*.02.2026*",'נתוני אימונים'!B:B,"אירובי"),"")</f>
        <v/>
      </c>
      <c r="E17" s="29">
        <f>IFERROR(AVERAGEIFS('נתוני אימונים'!G:G,'נתוני אימונים'!A:A,"*.02.2026*",'נתוני אימונים'!B:B,"אירובי"),"")</f>
        <v/>
      </c>
      <c r="F17" s="10">
        <f>IFERROR(AVERAGEIFS('נתוני אימונים'!I:I,'נתוני אימונים'!A:A,"*.02.2026*",'נתוני אימונים'!B:B,"אירובי"),"")</f>
        <v/>
      </c>
      <c r="G17" s="10">
        <f>IFERROR(SUMIFS('נתוני אימונים'!D:D,'נתוני אימונים'!A:A,"*.02.2026*",'נתוני אימונים'!B:B,"אירובי"),"")</f>
        <v/>
      </c>
    </row>
    <row r="18" ht="19.95" customHeight="1" s="41">
      <c r="A18" s="8" t="inlineStr">
        <is>
          <t>פברואר 2026</t>
        </is>
      </c>
      <c r="B18" s="11" t="inlineStr">
        <is>
          <t>אירובי ארוך</t>
        </is>
      </c>
      <c r="C18" s="30">
        <f>IFERROR(COUNTIFS('נתוני אימונים'!A:A,"*.02.2026*",'נתוני אימונים'!B:B,"אירובי ארוך"),0)</f>
        <v/>
      </c>
      <c r="D18" s="12">
        <f>IFERROR(AVERAGEIFS('נתוני אימונים'!F:F,'נתוני אימונים'!A:A,"*.02.2026*",'נתוני אימונים'!B:B,"אירובי ארוך"),"")</f>
        <v/>
      </c>
      <c r="E18" s="30">
        <f>IFERROR(AVERAGEIFS('נתוני אימונים'!G:G,'נתוני אימונים'!A:A,"*.02.2026*",'נתוני אימונים'!B:B,"אירובי ארוך"),"")</f>
        <v/>
      </c>
      <c r="F18" s="12">
        <f>IFERROR(AVERAGEIFS('נתוני אימונים'!I:I,'נתוני אימונים'!A:A,"*.02.2026*",'נתוני אימונים'!B:B,"אירובי ארוך"),"")</f>
        <v/>
      </c>
      <c r="G18" s="12">
        <f>IFERROR(SUMIFS('נתוני אימונים'!D:D,'נתוני אימונים'!A:A,"*.02.2026*",'נתוני אימונים'!B:B,"אירובי ארוך"),"")</f>
        <v/>
      </c>
    </row>
    <row r="19" ht="19.95" customHeight="1" s="41">
      <c r="A19" s="8" t="inlineStr">
        <is>
          <t>פברואר 2026</t>
        </is>
      </c>
      <c r="B19" s="13" t="inlineStr">
        <is>
          <t>טמפו</t>
        </is>
      </c>
      <c r="C19" s="31">
        <f>IFERROR(COUNTIFS('נתוני אימונים'!A:A,"*.02.2026*",'נתוני אימונים'!B:B,"טמפו"),0)</f>
        <v/>
      </c>
      <c r="D19" s="14">
        <f>IFERROR(AVERAGEIFS('נתוני אימונים'!F:F,'נתוני אימונים'!A:A,"*.02.2026*",'נתוני אימונים'!B:B,"טמפו"),"")</f>
        <v/>
      </c>
      <c r="E19" s="31">
        <f>IFERROR(AVERAGEIFS('נתוני אימונים'!G:G,'נתוני אימונים'!A:A,"*.02.2026*",'נתוני אימונים'!B:B,"טמפו"),"")</f>
        <v/>
      </c>
      <c r="F19" s="14">
        <f>IFERROR(AVERAGEIFS('נתוני אימונים'!I:I,'נתוני אימונים'!A:A,"*.02.2026*",'נתוני אימונים'!B:B,"טמפו"),"")</f>
        <v/>
      </c>
      <c r="G19" s="14">
        <f>IFERROR(SUMIFS('נתוני אימונים'!D:D,'נתוני אימונים'!A:A,"*.02.2026*",'נתוני אימונים'!B:B,"טמפו"),"")</f>
        <v/>
      </c>
    </row>
    <row r="20" ht="19.95" customHeight="1" s="41">
      <c r="A20" s="8" t="inlineStr">
        <is>
          <t>פברואר 2026</t>
        </is>
      </c>
      <c r="B20" s="15" t="inlineStr">
        <is>
          <t>ספרינטים</t>
        </is>
      </c>
      <c r="C20" s="32">
        <f>IFERROR(COUNTIFS('נתוני אימונים'!A:A,"*.02.2026*",'נתוני אימונים'!B:B,"ספרינטים"),0)</f>
        <v/>
      </c>
      <c r="D20" s="16">
        <f>IFERROR(AVERAGEIFS('נתוני אימונים'!F:F,'נתוני אימונים'!A:A,"*.02.2026*",'נתוני אימונים'!B:B,"ספרינטים"),"")</f>
        <v/>
      </c>
      <c r="E20" s="32">
        <f>IFERROR(AVERAGEIFS('נתוני אימונים'!G:G,'נתוני אימונים'!A:A,"*.02.2026*",'נתוני אימונים'!B:B,"ספרינטים"),"")</f>
        <v/>
      </c>
      <c r="F20" s="16">
        <f>IFERROR(AVERAGEIFS('נתוני אימונים'!I:I,'נתוני אימונים'!A:A,"*.02.2026*",'נתוני אימונים'!B:B,"ספרינטים"),"")</f>
        <v/>
      </c>
      <c r="G20" s="16">
        <f>IFERROR(SUMIFS('נתוני אימונים'!D:D,'נתוני אימונים'!A:A,"*.02.2026*",'נתוני אימונים'!B:B,"ספרינטים"),"")</f>
        <v/>
      </c>
    </row>
    <row r="21" ht="22.05" customHeight="1" s="41">
      <c r="A21" s="17" t="inlineStr">
        <is>
          <t>פברואר 2026</t>
        </is>
      </c>
      <c r="B21" s="17" t="inlineStr">
        <is>
          <t>סה״כ חודש</t>
        </is>
      </c>
      <c r="C21" s="33">
        <f>IFERROR(COUNTIFS('נתוני אימונים'!A:A,"*.02.2026*"),0)</f>
        <v/>
      </c>
      <c r="D21" s="18">
        <f>IFERROR(AVERAGEIFS('נתוני אימונים'!F:F,'נתוני אימונים'!A:A,"*.02.2026*"),"")</f>
        <v/>
      </c>
      <c r="E21" s="33">
        <f>IFERROR(AVERAGEIFS('נתוני אימונים'!G:G,'נתוני אימונים'!A:A,"*.02.2026*"),"")</f>
        <v/>
      </c>
      <c r="F21" s="18">
        <f>IFERROR(AVERAGEIFS('נתוני אימונים'!I:I,'נתוני אימונים'!A:A,"*.02.2026*"),"")</f>
        <v/>
      </c>
      <c r="G21" s="18">
        <f>IFERROR(SUMIFS('נתוני אימונים'!D:D,'נתוני אימונים'!A:A,"*.02.2026*"),"")</f>
        <v/>
      </c>
    </row>
    <row r="22"/>
    <row r="23"/>
    <row r="24" ht="19.95" customHeight="1" s="41">
      <c r="A24" s="8" t="inlineStr">
        <is>
          <t>מרץ 2026</t>
        </is>
      </c>
      <c r="B24" s="9" t="inlineStr">
        <is>
          <t>אירובי</t>
        </is>
      </c>
      <c r="C24" s="29">
        <f>IFERROR(COUNTIFS('נתוני אימונים'!A:A,"*.03.2026*",'נתוני אימונים'!B:B,"אירובי"),0)</f>
        <v/>
      </c>
      <c r="D24" s="10">
        <f>IFERROR(AVERAGEIFS('נתוני אימונים'!F:F,'נתוני אימונים'!A:A,"*.03.2026*",'נתוני אימונים'!B:B,"אירובי"),"")</f>
        <v/>
      </c>
      <c r="E24" s="29">
        <f>IFERROR(AVERAGEIFS('נתוני אימונים'!G:G,'נתוני אימונים'!A:A,"*.03.2026*",'נתוני אימונים'!B:B,"אירובי"),"")</f>
        <v/>
      </c>
      <c r="F24" s="10">
        <f>IFERROR(AVERAGEIFS('נתוני אימונים'!I:I,'נתוני אימונים'!A:A,"*.03.2026*",'נתוני אימונים'!B:B,"אירובי"),"")</f>
        <v/>
      </c>
      <c r="G24" s="10">
        <f>IFERROR(SUMIFS('נתוני אימונים'!D:D,'נתוני אימונים'!A:A,"*.03.2026*",'נתוני אימונים'!B:B,"אירובי"),"")</f>
        <v/>
      </c>
    </row>
    <row r="25" ht="19.95" customHeight="1" s="41">
      <c r="A25" s="8" t="inlineStr">
        <is>
          <t>מרץ 2026</t>
        </is>
      </c>
      <c r="B25" s="11" t="inlineStr">
        <is>
          <t>אירובי ארוך</t>
        </is>
      </c>
      <c r="C25" s="30">
        <f>IFERROR(COUNTIFS('נתוני אימונים'!A:A,"*.03.2026*",'נתוני אימונים'!B:B,"אירובי ארוך"),0)</f>
        <v/>
      </c>
      <c r="D25" s="12">
        <f>IFERROR(AVERAGEIFS('נתוני אימונים'!F:F,'נתוני אימונים'!A:A,"*.03.2026*",'נתוני אימונים'!B:B,"אירובי ארוך"),"")</f>
        <v/>
      </c>
      <c r="E25" s="30">
        <f>IFERROR(AVERAGEIFS('נתוני אימונים'!G:G,'נתוני אימונים'!A:A,"*.03.2026*",'נתוני אימונים'!B:B,"אירובי ארוך"),"")</f>
        <v/>
      </c>
      <c r="F25" s="12">
        <f>IFERROR(AVERAGEIFS('נתוני אימונים'!I:I,'נתוני אימונים'!A:A,"*.03.2026*",'נתוני אימונים'!B:B,"אירובי ארוך"),"")</f>
        <v/>
      </c>
      <c r="G25" s="12">
        <f>IFERROR(SUMIFS('נתוני אימונים'!D:D,'נתוני אימונים'!A:A,"*.03.2026*",'נתוני אימונים'!B:B,"אירובי ארוך"),"")</f>
        <v/>
      </c>
    </row>
    <row r="26" ht="19.95" customHeight="1" s="41">
      <c r="A26" s="8" t="inlineStr">
        <is>
          <t>מרץ 2026</t>
        </is>
      </c>
      <c r="B26" s="13" t="inlineStr">
        <is>
          <t>טמפו</t>
        </is>
      </c>
      <c r="C26" s="31">
        <f>IFERROR(COUNTIFS('נתוני אימונים'!A:A,"*.03.2026*",'נתוני אימונים'!B:B,"טמפו"),0)</f>
        <v/>
      </c>
      <c r="D26" s="14">
        <f>IFERROR(AVERAGEIFS('נתוני אימונים'!F:F,'נתוני אימונים'!A:A,"*.03.2026*",'נתוני אימונים'!B:B,"טמפו"),"")</f>
        <v/>
      </c>
      <c r="E26" s="31">
        <f>IFERROR(AVERAGEIFS('נתוני אימונים'!G:G,'נתוני אימונים'!A:A,"*.03.2026*",'נתוני אימונים'!B:B,"טמפו"),"")</f>
        <v/>
      </c>
      <c r="F26" s="14">
        <f>IFERROR(AVERAGEIFS('נתוני אימונים'!I:I,'נתוני אימונים'!A:A,"*.03.2026*",'נתוני אימונים'!B:B,"טמפו"),"")</f>
        <v/>
      </c>
      <c r="G26" s="14">
        <f>IFERROR(SUMIFS('נתוני אימונים'!D:D,'נתוני אימונים'!A:A,"*.03.2026*",'נתוני אימונים'!B:B,"טמפו"),"")</f>
        <v/>
      </c>
    </row>
    <row r="27" ht="19.95" customHeight="1" s="41">
      <c r="A27" s="8" t="inlineStr">
        <is>
          <t>מרץ 2026</t>
        </is>
      </c>
      <c r="B27" s="15" t="inlineStr">
        <is>
          <t>ספרינטים</t>
        </is>
      </c>
      <c r="C27" s="32">
        <f>IFERROR(COUNTIFS('נתוני אימונים'!A:A,"*.03.2026*",'נתוני אימונים'!B:B,"ספרינטים"),0)</f>
        <v/>
      </c>
      <c r="D27" s="16">
        <f>IFERROR(AVERAGEIFS('נתוני אימונים'!F:F,'נתוני אימונים'!A:A,"*.03.2026*",'נתוני אימונים'!B:B,"ספרינטים"),"")</f>
        <v/>
      </c>
      <c r="E27" s="32">
        <f>IFERROR(AVERAGEIFS('נתוני אימונים'!G:G,'נתוני אימונים'!A:A,"*.03.2026*",'נתוני אימונים'!B:B,"ספרינטים"),"")</f>
        <v/>
      </c>
      <c r="F27" s="16">
        <f>IFERROR(AVERAGEIFS('נתוני אימונים'!I:I,'נתוני אימונים'!A:A,"*.03.2026*",'נתוני אימונים'!B:B,"ספרינטים"),"")</f>
        <v/>
      </c>
      <c r="G27" s="16">
        <f>IFERROR(SUMIFS('נתוני אימונים'!D:D,'נתוני אימונים'!A:A,"*.03.2026*",'נתוני אימונים'!B:B,"ספרינטים"),"")</f>
        <v/>
      </c>
    </row>
    <row r="28" ht="22.05" customHeight="1" s="41">
      <c r="A28" s="17" t="inlineStr">
        <is>
          <t>מרץ 2026</t>
        </is>
      </c>
      <c r="B28" s="17" t="inlineStr">
        <is>
          <t>סה״כ חודש</t>
        </is>
      </c>
      <c r="C28" s="33">
        <f>IFERROR(COUNTIFS('נתוני אימונים'!A:A,"*.03.2026*"),0)</f>
        <v/>
      </c>
      <c r="D28" s="18">
        <f>IFERROR(AVERAGEIFS('נתוני אימונים'!F:F,'נתוני אימונים'!A:A,"*.03.2026*"),"")</f>
        <v/>
      </c>
      <c r="E28" s="33">
        <f>IFERROR(AVERAGEIFS('נתוני אימונים'!G:G,'נתוני אימונים'!A:A,"*.03.2026*"),"")</f>
        <v/>
      </c>
      <c r="F28" s="18">
        <f>IFERROR(AVERAGEIFS('נתוני אימונים'!I:I,'נתוני אימונים'!A:A,"*.03.2026*"),"")</f>
        <v/>
      </c>
      <c r="G28" s="18">
        <f>IFERROR(SUMIFS('נתוני אימונים'!D:D,'נתוני אימונים'!A:A,"*.03.2026*"),"")</f>
        <v/>
      </c>
    </row>
    <row r="29"/>
    <row r="30"/>
    <row r="31">
      <c r="A31" s="8" t="inlineStr">
        <is>
          <t>אפריל 2026</t>
        </is>
      </c>
      <c r="B31" s="9" t="inlineStr">
        <is>
          <t>אירובי</t>
        </is>
      </c>
      <c r="C31" s="29">
        <f>IFERROR(COUNTIFS('נתוני אימונים'!A:A,"*.04.2026*",'נתוני אימונים'!B:B,"אירובי"),0)</f>
        <v/>
      </c>
      <c r="D31" s="10">
        <f>IFERROR(AVERAGEIFS('נתוני אימונים'!F:F,'נתוני אימונים'!A:A,"*.04.2026*",'נתוני אימונים'!B:B,"אירובי"),"")</f>
        <v/>
      </c>
      <c r="E31" s="29">
        <f>IFERROR(AVERAGEIFS('נתוני אימונים'!G:G,'נתוני אימונים'!A:A,"*.04.2026*",'נתוני אימונים'!B:B,"אירובי"),"")</f>
        <v/>
      </c>
      <c r="F31" s="10">
        <f>IFERROR(AVERAGEIFS('נתוני אימונים'!I:I,'נתוני אימונים'!A:A,"*.04.2026*",'נתוני אימונים'!B:B,"אירובי"),"")</f>
        <v/>
      </c>
      <c r="G31" s="10">
        <f>IFERROR(SUMIFS('נתוני אימונים'!D:D,'נתוני אימונים'!A:A,"*.04.2026*",'נתוני אימונים'!B:B,"אירובי"),"")</f>
        <v/>
      </c>
    </row>
    <row r="32" ht="28.05" customHeight="1" s="41">
      <c r="A32" s="8" t="inlineStr">
        <is>
          <t>אפריל 2026</t>
        </is>
      </c>
      <c r="B32" s="36" t="inlineStr">
        <is>
          <t>אירובי ארוך</t>
        </is>
      </c>
      <c r="C32" s="37">
        <f>IFERROR(COUNTIFS('נתוני אימונים'!A:A,"*.04.2026*",'נתוני אימונים'!B:B,"אירובי ארוך"),0)</f>
        <v/>
      </c>
      <c r="D32" s="38">
        <f>IFERROR(AVERAGEIFS('נתוני אימונים'!F:F,'נתוני אימונים'!A:A,"*.04.2026*",'נתוני אימונים'!B:B,"אירובי ארוך"),"")</f>
        <v/>
      </c>
      <c r="E32" s="37">
        <f>IFERROR(AVERAGEIFS('נתוני אימונים'!G:G,'נתוני אימונים'!A:A,"*.04.2026*",'נתוני אימונים'!B:B,"אירובי ארוך"),"")</f>
        <v/>
      </c>
      <c r="F32" s="38">
        <f>IFERROR(AVERAGEIFS('נתוני אימונים'!I:I,'נתוני אימונים'!A:A,"*.04.2026*",'נתוני אימונים'!B:B,"אירובי ארוך"),"")</f>
        <v/>
      </c>
      <c r="G32" s="38">
        <f>IFERROR(SUMIFS('נתוני אימונים'!D:D,'נתוני אימונים'!A:A,"*.04.2026*",'נתוני אימונים'!B:B,"אירובי ארוך"),"")</f>
        <v/>
      </c>
    </row>
    <row r="33" ht="28.05" customHeight="1" s="41">
      <c r="A33" s="8" t="inlineStr">
        <is>
          <t>אפריל 2026</t>
        </is>
      </c>
      <c r="B33" s="13" t="inlineStr">
        <is>
          <t>טמפו</t>
        </is>
      </c>
      <c r="C33" s="31">
        <f>IFERROR(COUNTIFS('נתוני אימונים'!A:A,"*.04.2026*",'נתוני אימונים'!B:B,"טמפו"),0)</f>
        <v/>
      </c>
      <c r="D33" s="14">
        <f>IFERROR(AVERAGEIFS('נתוני אימונים'!F:F,'נתוני אימונים'!A:A,"*.04.2026*",'נתוני אימונים'!B:B,"טמפו"),"")</f>
        <v/>
      </c>
      <c r="E33" s="31">
        <f>IFERROR(AVERAGEIFS('נתוני אימונים'!G:G,'נתוני אימונים'!A:A,"*.04.2026*",'נתוני אימונים'!B:B,"טמפו"),"")</f>
        <v/>
      </c>
      <c r="F33" s="14">
        <f>IFERROR(AVERAGEIFS('נתוני אימונים'!I:I,'נתוני אימונים'!A:A,"*.04.2026*",'נתוני אימונים'!B:B,"טמפו"),"")</f>
        <v/>
      </c>
      <c r="G33" s="14">
        <f>IFERROR(SUMIFS('נתוני אימונים'!D:D,'נתוני אימונים'!A:A,"*.04.2026*",'נתוני אימונים'!B:B,"טמפו"),"")</f>
        <v/>
      </c>
    </row>
    <row r="34" ht="22.05" customHeight="1" s="41">
      <c r="A34" s="8" t="inlineStr">
        <is>
          <t>אפריל 2026</t>
        </is>
      </c>
      <c r="B34" s="15" t="inlineStr">
        <is>
          <t>ספרינטים</t>
        </is>
      </c>
      <c r="C34" s="32">
        <f>IFERROR(COUNTIFS('נתוני אימונים'!A:A,"*.04.2026*",'נתוני אימונים'!B:B,"ספרינטים"),0)</f>
        <v/>
      </c>
      <c r="D34" s="16">
        <f>IFERROR(AVERAGEIFS('נתוני אימונים'!F:F,'נתוני אימונים'!A:A,"*.04.2026*",'נתוני אימונים'!B:B,"ספרינטים"),"")</f>
        <v/>
      </c>
      <c r="E34" s="32">
        <f>IFERROR(AVERAGEIFS('נתוני אימונים'!G:G,'נתוני אימונים'!A:A,"*.04.2026*",'נתוני אימונים'!B:B,"ספרינטים"),"")</f>
        <v/>
      </c>
      <c r="F34" s="16">
        <f>IFERROR(AVERAGEIFS('נתוני אימונים'!I:I,'נתוני אימונים'!A:A,"*.04.2026*",'נתוני אימונים'!B:B,"ספרינטים"),"")</f>
        <v/>
      </c>
      <c r="G34" s="16">
        <f>IFERROR(SUMIFS('נתוני אימונים'!D:D,'נתוני אימונים'!A:A,"*.04.2026*",'נתוני אימונים'!B:B,"ספרינטים"),"")</f>
        <v/>
      </c>
    </row>
    <row r="35" ht="22.05" customHeight="1" s="41">
      <c r="A35" s="17" t="inlineStr">
        <is>
          <t>אפריל 2026</t>
        </is>
      </c>
      <c r="B35" s="17" t="inlineStr">
        <is>
          <t>סה״כ חודש</t>
        </is>
      </c>
      <c r="C35" s="33">
        <f>IFERROR(COUNTIFS('נתוני אימונים'!A:A,"*.04.2026*"),0)</f>
        <v/>
      </c>
      <c r="D35" s="18">
        <f>IFERROR(AVERAGEIFS('נתוני אימונים'!F:F,'נתוני אימונים'!A:A,"*.04.2026*"),"")</f>
        <v/>
      </c>
      <c r="E35" s="33">
        <f>IFERROR(AVERAGEIFS('נתוני אימונים'!G:G,'נתוני אימונים'!A:A,"*.04.2026*"),"")</f>
        <v/>
      </c>
      <c r="F35" s="18">
        <f>IFERROR(AVERAGEIFS('נתוני אימונים'!I:I,'נתוני אימונים'!A:A,"*.04.2026*"),"")</f>
        <v/>
      </c>
      <c r="G35" s="18">
        <f>IFERROR(SUMIFS('נתוני אימונים'!D:D,'נתוני אימונים'!A:A,"*.04.2026*"),"")</f>
        <v/>
      </c>
    </row>
    <row r="36" ht="22.05" customHeight="1" s="41"/>
    <row r="37" ht="22.05" customHeight="1" s="41"/>
    <row r="38" ht="24" customHeight="1" s="41"/>
    <row r="39" ht="15.6" customHeight="1" s="41"/>
    <row r="40" ht="26.4" customHeight="1" s="41"/>
    <row r="41">
      <c r="A41" t="inlineStr">
        <is>
          <t>מאי 2026</t>
        </is>
      </c>
      <c r="B41" t="inlineStr">
        <is>
          <t>אירובי</t>
        </is>
      </c>
      <c r="C41">
        <f>IFERROR(COUNTIFS('נתוני אימונים'!A:A,"*.05.2026*",'נתוני אימונים'!B:B,"אירובי"),0)</f>
        <v/>
      </c>
      <c r="D41">
        <f>IFERROR(AVERAGEIFS('נתוני אימונים'!F:F,'נתוני אימונים'!A:A,"*.05.2026*",'נתוני אימונים'!B:B,"אירובי"),"")</f>
        <v/>
      </c>
      <c r="E41">
        <f>IFERROR(AVERAGEIFS('נתוני אימונים'!G:G,'נתוני אימונים'!A:A,"*.05.2026*",'נתוני אימונים'!B:B,"אירובי"),"")</f>
        <v/>
      </c>
      <c r="F41">
        <f>IFERROR(AVERAGEIFS('נתוני אימונים'!I:I,'נתוני אימונים'!A:A,"*.05.2026*",'נתוני אימונים'!B:B,"אירובי"),"")</f>
        <v/>
      </c>
      <c r="G41">
        <f>IFERROR(SUMIFS('נתוני אימונים'!D:D,'נתוני אימונים'!A:A,"*.05.2026*",'נתוני אימונים'!B:B,"אירובי"),"")</f>
        <v/>
      </c>
    </row>
    <row r="42">
      <c r="A42" t="inlineStr">
        <is>
          <t>מאי 2026</t>
        </is>
      </c>
      <c r="B42" t="inlineStr">
        <is>
          <t>אירובי ארוך</t>
        </is>
      </c>
      <c r="C42">
        <f>IFERROR(COUNTIFS('נתוני אימונים'!A:A,"*.05.2026*",'נתוני אימונים'!B:B,"אירובי ארוך"),0)</f>
        <v/>
      </c>
      <c r="D42">
        <f>IFERROR(AVERAGEIFS('נתוני אימונים'!F:F,'נתוני אימונים'!A:A,"*.05.2026*",'נתוני אימונים'!B:B,"אירובי ארוך"),"")</f>
        <v/>
      </c>
      <c r="E42">
        <f>IFERROR(AVERAGEIFS('נתוני אימונים'!G:G,'נתוני אימונים'!A:A,"*.05.2026*",'נתוני אימונים'!B:B,"אירובי ארוך"),"")</f>
        <v/>
      </c>
      <c r="F42">
        <f>IFERROR(AVERAGEIFS('נתוני אימונים'!I:I,'נתוני אימונים'!A:A,"*.05.2026*",'נתוני אימונים'!B:B,"אירובי ארוך"),"")</f>
        <v/>
      </c>
      <c r="G42">
        <f>IFERROR(SUMIFS('נתוני אימונים'!D:D,'נתוני אימונים'!A:A,"*.05.2026*",'נתוני אימונים'!B:B,"אירובי ארוך"),"")</f>
        <v/>
      </c>
    </row>
    <row r="43">
      <c r="A43" t="inlineStr">
        <is>
          <t>מאי 2026</t>
        </is>
      </c>
      <c r="B43" t="inlineStr">
        <is>
          <t>טמפו</t>
        </is>
      </c>
      <c r="C43">
        <f>IFERROR(COUNTIFS('נתוני אימונים'!A:A,"*.05.2026*",'נתוני אימונים'!B:B,"טמפו"),0)</f>
        <v/>
      </c>
      <c r="D43">
        <f>IFERROR(AVERAGEIFS('נתוני אימונים'!F:F,'נתוני אימונים'!A:A,"*.05.2026*",'נתוני אימונים'!B:B,"טמפו"),"")</f>
        <v/>
      </c>
      <c r="E43">
        <f>IFERROR(AVERAGEIFS('נתוני אימונים'!G:G,'נתוני אימונים'!A:A,"*.05.2026*",'נתוני אימונים'!B:B,"טמפו"),"")</f>
        <v/>
      </c>
      <c r="F43">
        <f>IFERROR(AVERAGEIFS('נתוני אימונים'!I:I,'נתוני אימונים'!A:A,"*.05.2026*",'נתוני אימונים'!B:B,"טמפו"),"")</f>
        <v/>
      </c>
      <c r="G43">
        <f>IFERROR(SUMIFS('נתוני אימונים'!D:D,'נתוני אימונים'!A:A,"*.05.2026*",'נתוני אימונים'!B:B,"טמפו"),"")</f>
        <v/>
      </c>
    </row>
    <row r="44">
      <c r="A44" t="inlineStr">
        <is>
          <t>מאי 2026</t>
        </is>
      </c>
      <c r="B44" t="inlineStr">
        <is>
          <t>ספרינטים</t>
        </is>
      </c>
      <c r="C44">
        <f>IFERROR(COUNTIFS('נתוני אימונים'!A:A,"*.05.2026*",'נתוני אימונים'!B:B,"ספרינטים"),0)</f>
        <v/>
      </c>
      <c r="D44">
        <f>IFERROR(AVERAGEIFS('נתוני אימונים'!F:F,'נתוני אימונים'!A:A,"*.05.2026*",'נתוני אימונים'!B:B,"ספרינטים"),"")</f>
        <v/>
      </c>
      <c r="E44">
        <f>IFERROR(AVERAGEIFS('נתוני אימונים'!G:G,'נתוני אימונים'!A:A,"*.05.2026*",'נתוני אימונים'!B:B,"ספרינטים"),"")</f>
        <v/>
      </c>
      <c r="F44">
        <f>IFERROR(AVERAGEIFS('נתוני אימונים'!I:I,'נתוני אימונים'!A:A,"*.05.2026*",'נתוני אימונים'!B:B,"ספרינטים"),"")</f>
        <v/>
      </c>
      <c r="G44">
        <f>IFERROR(SUMIFS('נתוני אימונים'!D:D,'נתוני אימונים'!A:A,"*.05.2026*",'נתוני אימונים'!B:B,"ספרינטים"),"")</f>
        <v/>
      </c>
    </row>
    <row r="45">
      <c r="A45" t="inlineStr">
        <is>
          <t>מאי 2026</t>
        </is>
      </c>
      <c r="B45" t="inlineStr">
        <is>
          <t>סה"כ חודש</t>
        </is>
      </c>
      <c r="C45">
        <f>IFERROR(COUNTIFS('נתוני אימונים'!A:A,"*.05.2026*"),0)</f>
        <v/>
      </c>
      <c r="D45">
        <f>IFERROR(AVERAGEIFS('נתוני אימונים'!F:F,'נתוני אימונים'!A:A,"*.05.2026*"),"")</f>
        <v/>
      </c>
      <c r="E45">
        <f>IFERROR(AVERAGEIFS('נתוני אימונים'!G:G,'נתוני אימונים'!A:A,"*.05.2026*"),"")</f>
        <v/>
      </c>
      <c r="F45">
        <f>IFERROR(AVERAGEIFS('נתוני אימונים'!I:I,'נתוני אימונים'!A:A,"*.05.2026*"),"")</f>
        <v/>
      </c>
      <c r="G45">
        <f>IFERROR(SUMIFS('נתוני אימונים'!D:D,'נתוני אימונים'!A:A,"*.05.2026*"),"")</f>
        <v/>
      </c>
    </row>
    <row r="46" ht="15.6" customHeight="1" s="41"/>
    <row r="47" ht="26.4" customHeight="1" s="41"/>
    <row r="48">
      <c r="A48" t="inlineStr">
        <is>
          <t>יוני 2026</t>
        </is>
      </c>
      <c r="B48" t="inlineStr">
        <is>
          <t>אירובי</t>
        </is>
      </c>
      <c r="C48">
        <f>IFERROR(COUNTIFS('נתוני אימונים'!A:A,"*.06.2026*",'נתוני אימונים'!B:B,"אירובי"),0)</f>
        <v/>
      </c>
      <c r="D48">
        <f>IFERROR(AVERAGEIFS('נתוני אימונים'!F:F,'נתוני אימונים'!A:A,"*.06.2026*",'נתוני אימונים'!B:B,"אירובי"),"")</f>
        <v/>
      </c>
      <c r="E48">
        <f>IFERROR(AVERAGEIFS('נתוני אימונים'!G:G,'נתוני אימונים'!A:A,"*.06.2026*",'נתוני אימונים'!B:B,"אירובי"),"")</f>
        <v/>
      </c>
      <c r="F48">
        <f>IFERROR(AVERAGEIFS('נתוני אימונים'!I:I,'נתוני אימונים'!A:A,"*.06.2026*",'נתוני אימונים'!B:B,"אירובי"),"")</f>
        <v/>
      </c>
      <c r="G48">
        <f>IFERROR(SUMIFS('נתוני אימונים'!D:D,'נתוני אימונים'!A:A,"*.06.2026*",'נתוני אימונים'!B:B,"אירובי"),"")</f>
        <v/>
      </c>
    </row>
    <row r="49">
      <c r="A49" t="inlineStr">
        <is>
          <t>יוני 2026</t>
        </is>
      </c>
      <c r="B49" t="inlineStr">
        <is>
          <t>אירובי ארוך</t>
        </is>
      </c>
      <c r="C49">
        <f>IFERROR(COUNTIFS('נתוני אימונים'!A:A,"*.06.2026*",'נתוני אימונים'!B:B,"אירובי ארוך"),0)</f>
        <v/>
      </c>
      <c r="D49">
        <f>IFERROR(AVERAGEIFS('נתוני אימונים'!F:F,'נתוני אימונים'!A:A,"*.06.2026*",'נתוני אימונים'!B:B,"אירובי ארוך"),"")</f>
        <v/>
      </c>
      <c r="E49">
        <f>IFERROR(AVERAGEIFS('נתוני אימונים'!G:G,'נתוני אימונים'!A:A,"*.06.2026*",'נתוני אימונים'!B:B,"אירובי ארוך"),"")</f>
        <v/>
      </c>
      <c r="F49">
        <f>IFERROR(AVERAGEIFS('נתוני אימונים'!I:I,'נתוני אימונים'!A:A,"*.06.2026*",'נתוני אימונים'!B:B,"אירובי ארוך"),"")</f>
        <v/>
      </c>
      <c r="G49">
        <f>IFERROR(SUMIFS('נתוני אימונים'!D:D,'נתוני אימונים'!A:A,"*.06.2026*",'נתוני אימונים'!B:B,"אירובי ארוך"),"")</f>
        <v/>
      </c>
    </row>
    <row r="50">
      <c r="A50" t="inlineStr">
        <is>
          <t>יוני 2026</t>
        </is>
      </c>
      <c r="B50" t="inlineStr">
        <is>
          <t>טמפו</t>
        </is>
      </c>
      <c r="C50">
        <f>IFERROR(COUNTIFS('נתוני אימונים'!A:A,"*.06.2026*",'נתוני אימונים'!B:B,"טמפו"),0)</f>
        <v/>
      </c>
      <c r="D50">
        <f>IFERROR(AVERAGEIFS('נתוני אימונים'!F:F,'נתוני אימונים'!A:A,"*.06.2026*",'נתוני אימונים'!B:B,"טמפו"),"")</f>
        <v/>
      </c>
      <c r="E50">
        <f>IFERROR(AVERAGEIFS('נתוני אימונים'!G:G,'נתוני אימונים'!A:A,"*.06.2026*",'נתוני אימונים'!B:B,"טמפו"),"")</f>
        <v/>
      </c>
      <c r="F50">
        <f>IFERROR(AVERAGEIFS('נתוני אימונים'!I:I,'נתוני אימונים'!A:A,"*.06.2026*",'נתוני אימונים'!B:B,"טמפו"),"")</f>
        <v/>
      </c>
      <c r="G50">
        <f>IFERROR(SUMIFS('נתוני אימונים'!D:D,'נתוני אימונים'!A:A,"*.06.2026*",'נתוני אימונים'!B:B,"טמפו"),"")</f>
        <v/>
      </c>
    </row>
    <row r="51">
      <c r="A51" t="inlineStr">
        <is>
          <t>יוני 2026</t>
        </is>
      </c>
      <c r="B51" t="inlineStr">
        <is>
          <t>ספרינטים</t>
        </is>
      </c>
      <c r="C51">
        <f>IFERROR(COUNTIFS('נתוני אימונים'!A:A,"*.06.2026*",'נתוני אימונים'!B:B,"ספרינטים"),0)</f>
        <v/>
      </c>
      <c r="D51">
        <f>IFERROR(AVERAGEIFS('נתוני אימונים'!F:F,'נתוני אימונים'!A:A,"*.06.2026*",'נתוני אימונים'!B:B,"ספרינטים"),"")</f>
        <v/>
      </c>
      <c r="E51">
        <f>IFERROR(AVERAGEIFS('נתוני אימונים'!G:G,'נתוני אימונים'!A:A,"*.06.2026*",'נתוני אימונים'!B:B,"ספרינטים"),"")</f>
        <v/>
      </c>
      <c r="F51">
        <f>IFERROR(AVERAGEIFS('נתוני אימונים'!I:I,'נתוני אימונים'!A:A,"*.06.2026*",'נתוני אימונים'!B:B,"ספרינטים"),"")</f>
        <v/>
      </c>
      <c r="G51">
        <f>IFERROR(SUMIFS('נתוני אימונים'!D:D,'נתוני אימונים'!A:A,"*.06.2026*",'נתוני אימונים'!B:B,"ספרינטים"),"")</f>
        <v/>
      </c>
    </row>
    <row r="52">
      <c r="A52" t="inlineStr">
        <is>
          <t>יוני 2026</t>
        </is>
      </c>
      <c r="B52" t="inlineStr">
        <is>
          <t>סה"כ חודש</t>
        </is>
      </c>
      <c r="C52">
        <f>IFERROR(COUNTIFS('נתוני אימונים'!A:A,"*.06.2026*"),0)</f>
        <v/>
      </c>
      <c r="D52">
        <f>IFERROR(AVERAGEIFS('נתוני אימונים'!F:F,'נתוני אימונים'!A:A,"*.06.2026*"),"")</f>
        <v/>
      </c>
      <c r="E52">
        <f>IFERROR(AVERAGEIFS('נתוני אימונים'!G:G,'נתוני אימונים'!A:A,"*.06.2026*"),"")</f>
        <v/>
      </c>
      <c r="F52">
        <f>IFERROR(AVERAGEIFS('נתוני אימונים'!I:I,'נתוני אימונים'!A:A,"*.06.2026*"),"")</f>
        <v/>
      </c>
      <c r="G52">
        <f>IFERROR(SUMIFS('נתוני אימונים'!D:D,'נתוני אימונים'!A:A,"*.06.2026*"),"")</f>
        <v/>
      </c>
    </row>
    <row r="53">
      <c r="A53" s="26" t="inlineStr">
        <is>
          <t>🏆 סיכום כולל — כל האימונים</t>
        </is>
      </c>
    </row>
    <row r="54">
      <c r="A54" s="7" t="inlineStr">
        <is>
          <t>סוג אימון</t>
        </is>
      </c>
      <c r="B54" s="7" t="inlineStr">
        <is>
          <t>סה״כ
אימונים</t>
        </is>
      </c>
      <c r="C54" s="34" t="inlineStr">
        <is>
          <t>מהירות
ממוצע</t>
        </is>
      </c>
      <c r="D54" s="7" t="inlineStr">
        <is>
          <t>דופק
ממוצע</t>
        </is>
      </c>
      <c r="E54" s="34" t="inlineStr">
        <is>
          <t>DPS
ממוצע</t>
        </is>
      </c>
      <c r="F54" s="7" t="inlineStr">
        <is>
          <t>סה״כ
ק״מ</t>
        </is>
      </c>
      <c r="G54" s="7" t="inlineStr">
        <is>
          <t>% מסך
האימונים</t>
        </is>
      </c>
    </row>
    <row r="55">
      <c r="A55" s="9" t="inlineStr">
        <is>
          <t>אירובי</t>
        </is>
      </c>
      <c r="B55" s="10">
        <f>IFERROR(COUNTIF('נתוני אימונים'!B:B,"אירובי"),0)</f>
        <v/>
      </c>
      <c r="C55" s="29">
        <f>IFERROR(AVERAGEIF('נתוני אימונים'!B:B,"אירובי",'נתוני אימונים'!F:F),"")</f>
        <v/>
      </c>
      <c r="D55" s="10">
        <f>IFERROR(AVERAGEIF('נתוני אימונים'!B:B,"אירובי",'נתוני אימונים'!G:G),"")</f>
        <v/>
      </c>
      <c r="E55" s="29">
        <f>IFERROR(AVERAGEIF('נתוני אימונים'!B:B,"אירובי",'נתוני אימונים'!I:I),"")</f>
        <v/>
      </c>
      <c r="F55" s="10">
        <f>IFERROR(SUMIF('נתוני אימונים'!B:B,"אירובי",'נתוני אימונים'!D:D),"")</f>
        <v/>
      </c>
      <c r="G55" s="19">
        <f>IFERROR(COUNTIF('נתוני אימונים'!B:B,"אירובי")/COUNTA('נתוני אימונים'!A3:A999),"")</f>
        <v/>
      </c>
    </row>
    <row r="56">
      <c r="A56" s="11" t="inlineStr">
        <is>
          <t>אירובי ארוך</t>
        </is>
      </c>
      <c r="B56" s="12">
        <f>IFERROR(COUNTIF('נתוני אימונים'!B:B,"אירובי ארוך"),0)</f>
        <v/>
      </c>
      <c r="C56" s="30">
        <f>IFERROR(AVERAGEIF('נתוני אימונים'!B:B,"אירובי ארוך",'נתוני אימונים'!F:F),"")</f>
        <v/>
      </c>
      <c r="D56" s="12">
        <f>IFERROR(AVERAGEIF('נתוני אימונים'!B:B,"אירובי ארוך",'נתוני אימונים'!G:G),"")</f>
        <v/>
      </c>
      <c r="E56" s="30">
        <f>IFERROR(AVERAGEIF('נתוני אימונים'!B:B,"אירובי ארוך",'נתוני אימונים'!I:I),"")</f>
        <v/>
      </c>
      <c r="F56" s="12">
        <f>IFERROR(SUMIF('נתוני אימונים'!B:B,"אירובי ארוך",'נתוני אימונים'!D:D),"")</f>
        <v/>
      </c>
      <c r="G56" s="20">
        <f>IFERROR(COUNTIF('נתוני אימונים'!B:B,"אירובי ארוך")/COUNTA('נתוני אימונים'!A3:A999),"")</f>
        <v/>
      </c>
    </row>
    <row r="57">
      <c r="A57" s="13" t="inlineStr">
        <is>
          <t>טמפו</t>
        </is>
      </c>
      <c r="B57" s="14">
        <f>IFERROR(COUNTIF('נתוני אימונים'!B:B,"טמפו"),0)</f>
        <v/>
      </c>
      <c r="C57" s="31">
        <f>IFERROR(AVERAGEIF('נתוני אימונים'!B:B,"טמפו",'נתוני אימונים'!F:F),"")</f>
        <v/>
      </c>
      <c r="D57" s="14">
        <f>IFERROR(AVERAGEIF('נתוני אימונים'!B:B,"טמפו",'נתוני אימונים'!G:G),"")</f>
        <v/>
      </c>
      <c r="E57" s="31">
        <f>IFERROR(AVERAGEIF('נתוני אימונים'!B:B,"טמפו",'נתוני אימונים'!I:I),"")</f>
        <v/>
      </c>
      <c r="F57" s="14">
        <f>IFERROR(SUMIF('נתוני אימונים'!B:B,"טמפו",'נתוני אימונים'!D:D),"")</f>
        <v/>
      </c>
      <c r="G57" s="21">
        <f>IFERROR(COUNTIF('נתוני אימונים'!B:B,"טמפו")/COUNTA('נתוני אימונים'!A3:A999),"")</f>
        <v/>
      </c>
    </row>
    <row r="58">
      <c r="A58" s="15" t="inlineStr">
        <is>
          <t>ספרינטים</t>
        </is>
      </c>
      <c r="B58" s="16">
        <f>IFERROR(COUNTIF('נתוני אימונים'!B:B,"ספרינטים"),0)</f>
        <v/>
      </c>
      <c r="C58" s="32">
        <f>IFERROR(AVERAGEIF('נתוני אימונים'!B:B,"ספרינטים",'נתוני אימונים'!F:F),"")</f>
        <v/>
      </c>
      <c r="D58" s="16">
        <f>IFERROR(AVERAGEIF('נתוני אימונים'!B:B,"ספרינטים",'נתוני אימונים'!G:G),"")</f>
        <v/>
      </c>
      <c r="E58" s="32">
        <f>IFERROR(AVERAGEIF('נתוני אימונים'!B:B,"ספרינטים",'נתוני אימונים'!I:I),"")</f>
        <v/>
      </c>
      <c r="F58" s="16">
        <f>IFERROR(SUMIF('נתוני אימונים'!B:B,"ספרינטים",'נתוני אימונים'!D:D),"")</f>
        <v/>
      </c>
      <c r="G58" s="22">
        <f>IFERROR(COUNTIF('נתוני אימונים'!B:B,"ספרינטים")/COUNTA('נתוני אימונים'!A3:A999),"")</f>
        <v/>
      </c>
    </row>
    <row r="59">
      <c r="A59" s="23" t="inlineStr">
        <is>
          <t>סה״כ הכל</t>
        </is>
      </c>
      <c r="B59" s="24">
        <f>COUNTA('נתוני אימונים'!A3:A999)</f>
        <v/>
      </c>
      <c r="C59" s="35">
        <f>IFERROR(AVERAGE('נתוני אימונים'!F3:F999),"")</f>
        <v/>
      </c>
      <c r="D59" s="24">
        <f>IFERROR(AVERAGE('נתוני אימונים'!G3:G999),"")</f>
        <v/>
      </c>
      <c r="E59" s="35">
        <f>IFERROR(AVERAGE('נתוני אימונים'!I3:I999),"")</f>
        <v/>
      </c>
      <c r="F59" s="24">
        <f>IFERROR(SUM('נתוני אימונים'!D3:D999),"")</f>
        <v/>
      </c>
      <c r="G59" s="23" t="inlineStr">
        <is>
          <t>100%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rightToLeft="1" topLeftCell="A28" workbookViewId="0">
      <selection activeCell="A1" sqref="A1"/>
    </sheetView>
  </sheetViews>
  <sheetFormatPr baseColWidth="8" defaultRowHeight="14.4"/>
  <sheetData>
    <row r="1">
      <c r="A1" s="25" t="inlineStr">
        <is>
          <t>חודש</t>
        </is>
      </c>
      <c r="B1" s="25" t="inlineStr">
        <is>
          <t>מהירות</t>
        </is>
      </c>
      <c r="C1" s="25" t="inlineStr">
        <is>
          <t>דופק</t>
        </is>
      </c>
      <c r="D1" s="25" t="inlineStr">
        <is>
          <t>DPS</t>
        </is>
      </c>
      <c r="E1" s="25" t="inlineStr">
        <is>
          <t>יעילות</t>
        </is>
      </c>
    </row>
    <row r="2">
      <c r="A2" t="inlineStr">
        <is>
          <t>דצמבר 2025</t>
        </is>
      </c>
      <c r="B2">
        <f>IFERROR(AVERAGEIFS('נתוני אימונים'!F:F,'נתוני אימונים'!A:A,"*.12.2025*"),0)</f>
        <v/>
      </c>
      <c r="C2">
        <f>IFERROR(AVERAGEIFS('נתוני אימונים'!G:G,'נתוני אימונים'!A:A,"*.12.2025*"),0)</f>
        <v/>
      </c>
      <c r="D2">
        <f>IFERROR(AVERAGEIFS('נתוני אימונים'!I:I,'נתוני אימונים'!A:A,"*.12.2025*"),0)</f>
        <v/>
      </c>
      <c r="E2">
        <f>IFERROR(B2/C2,0)</f>
        <v/>
      </c>
    </row>
    <row r="3">
      <c r="A3" t="inlineStr">
        <is>
          <t>ינואר 2026</t>
        </is>
      </c>
      <c r="B3">
        <f>IFERROR(AVERAGEIFS('נתוני אימונים'!F:F,'נתוני אימונים'!A:A,"*.01.2026*"),0)</f>
        <v/>
      </c>
      <c r="C3">
        <f>IFERROR(AVERAGEIFS('נתוני אימונים'!G:G,'נתוני אימונים'!A:A,"*.01.2026*"),0)</f>
        <v/>
      </c>
      <c r="D3">
        <f>IFERROR(AVERAGEIFS('נתוני אימונים'!I:I,'נתוני אימונים'!A:A,"*.01.2026*"),0)</f>
        <v/>
      </c>
      <c r="E3">
        <f>IFERROR(B3/C3,0)</f>
        <v/>
      </c>
    </row>
    <row r="4">
      <c r="A4" t="inlineStr">
        <is>
          <t>פברואר 2026</t>
        </is>
      </c>
      <c r="B4">
        <f>IFERROR(AVERAGEIFS('נתוני אימונים'!F:F,'נתוני אימונים'!A:A,"*.02.2026*"),0)</f>
        <v/>
      </c>
      <c r="C4">
        <f>IFERROR(AVERAGEIFS('נתוני אימונים'!G:G,'נתוני אימונים'!A:A,"*.02.2026*"),0)</f>
        <v/>
      </c>
      <c r="D4">
        <f>IFERROR(AVERAGEIFS('נתוני אימונים'!I:I,'נתוני אימונים'!A:A,"*.02.2026*"),0)</f>
        <v/>
      </c>
      <c r="E4">
        <f>IFERROR(B4/C4,0)</f>
        <v/>
      </c>
    </row>
    <row r="5">
      <c r="A5" t="inlineStr">
        <is>
          <t>מרץ 2026</t>
        </is>
      </c>
      <c r="B5">
        <f>IFERROR(AVERAGEIFS('נתוני אימונים'!F:F,'נתוני אימונים'!A:A,"*.03.2026*"),0)</f>
        <v/>
      </c>
      <c r="C5">
        <f>IFERROR(AVERAGEIFS('נתוני אימונים'!G:G,'נתוני אימונים'!A:A,"*.03.2026*"),0)</f>
        <v/>
      </c>
      <c r="D5">
        <f>IFERROR(AVERAGEIFS('נתוני אימונים'!I:I,'נתוני אימונים'!A:A,"*.03.2026*"),0)</f>
        <v/>
      </c>
      <c r="E5">
        <f>IFERROR(B5/C5,0)</f>
        <v/>
      </c>
    </row>
    <row r="6">
      <c r="A6" t="inlineStr">
        <is>
          <t>אפריל 2026</t>
        </is>
      </c>
      <c r="B6">
        <f>IFERROR(AVERAGEIFS('נתוני אימונים'!F:F,'נתוני אימונים'!A:A,"*.04.2026*"),0)</f>
        <v/>
      </c>
      <c r="C6">
        <f>IFERROR(AVERAGEIFS('נתוני אימונים'!G:G,'נתוני אימונים'!A:A,"*.04.2026*"),0)</f>
        <v/>
      </c>
      <c r="D6">
        <f>IFERROR(AVERAGEIFS('נתוני אימונים'!I:I,'נתוני אימונים'!A:A,"*.04.2026*"),0)</f>
        <v/>
      </c>
      <c r="E6">
        <f>IFERROR(B6/C6,0)</f>
        <v/>
      </c>
    </row>
    <row r="7">
      <c r="A7" t="inlineStr">
        <is>
          <t>מאי 2026</t>
        </is>
      </c>
      <c r="B7">
        <f>IFERROR(AVERAGEIFS('נתוני אימונים'!F:F,'נתוני אימונים'!A:A,"*.05.2026*"),0)</f>
        <v/>
      </c>
      <c r="C7">
        <f>IFERROR(AVERAGEIFS('נתוני אימונים'!G:G,'נתוני אימונים'!A:A,"*.05.2026*"),0)</f>
        <v/>
      </c>
      <c r="D7">
        <f>IFERROR(AVERAGEIFS('נתוני אימונים'!I:I,'נתוני אימונים'!A:A,"*.05.2026*"),0)</f>
        <v/>
      </c>
      <c r="E7">
        <f>IFERROR(B7/C7,0)</f>
        <v/>
      </c>
    </row>
    <row r="8">
      <c r="A8" t="inlineStr">
        <is>
          <t>יוני 2026</t>
        </is>
      </c>
      <c r="B8">
        <f>IFERROR(AVERAGEIFS('נתוני אימונים'!F:F,'נתוני אימונים'!A:A,"*.06.2026*"),0)</f>
        <v/>
      </c>
      <c r="C8">
        <f>IFERROR(AVERAGEIFS('נתוני אימונים'!G:G,'נתוני אימונים'!A:A,"*.06.2026*"),0)</f>
        <v/>
      </c>
      <c r="D8">
        <f>IFERROR(AVERAGEIFS('נתוני אימונים'!I:I,'נתוני אימונים'!A:A,"*.06.2026*"),0)</f>
        <v/>
      </c>
      <c r="E8">
        <f>IFERROR(B8/C8,0)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2026-03-09T02:09:10Z</dcterms:created>
  <dcterms:modified xmlns:dcterms="http://purl.org/dc/terms/" xmlns:xsi="http://www.w3.org/2001/XMLSchema-instance" xsi:type="dcterms:W3CDTF">2026-06-06T15:45:27Z</dcterms:modified>
  <cp:lastModifiedBy>user</cp:lastModifiedBy>
  <cp:revision>1</cp:revision>
</cp:coreProperties>
</file>