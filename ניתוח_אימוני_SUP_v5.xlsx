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claude-projects\sup-challenge\"/>
    </mc:Choice>
  </mc:AlternateContent>
  <bookViews>
    <workbookView xWindow="0" yWindow="0" windowWidth="16380" windowHeight="8196" tabRatio="500"/>
  </bookViews>
  <sheets>
    <sheet name="נתוני אימונים" sheetId="1" r:id="rId1"/>
    <sheet name="סיכום חודשי" sheetId="2" r:id="rId2"/>
    <sheet name="גרפים" sheetId="3" r:id="rId3"/>
  </sheets>
  <definedNames>
    <definedName name="_xlnm._FilterDatabase" localSheetId="0" hidden="1">'נתוני אימונים'!$A$2:$L$31</definedName>
  </definedNames>
  <calcPr calcId="162913" iterateDelta="1E-4"/>
</workbook>
</file>

<file path=xl/calcChain.xml><?xml version="1.0" encoding="utf-8"?>
<calcChain xmlns="http://schemas.openxmlformats.org/spreadsheetml/2006/main">
  <c r="D7" i="3" l="1"/>
  <c r="C7" i="3"/>
  <c r="B7" i="3"/>
  <c r="E7" i="3" s="1"/>
  <c r="D6" i="3"/>
  <c r="C6" i="3"/>
  <c r="B6" i="3"/>
  <c r="D5" i="3"/>
  <c r="C5" i="3"/>
  <c r="B5" i="3"/>
  <c r="D4" i="3"/>
  <c r="C4" i="3"/>
  <c r="B4" i="3"/>
  <c r="E4" i="3" s="1"/>
  <c r="D3" i="3"/>
  <c r="C3" i="3"/>
  <c r="B3" i="3"/>
  <c r="E3" i="3" s="1"/>
  <c r="D2" i="3"/>
  <c r="C2" i="3"/>
  <c r="B2" i="3"/>
  <c r="F52" i="2"/>
  <c r="E52" i="2"/>
  <c r="D52" i="2"/>
  <c r="C52" i="2"/>
  <c r="B52" i="2"/>
  <c r="G51" i="2"/>
  <c r="F51" i="2"/>
  <c r="E51" i="2"/>
  <c r="D51" i="2"/>
  <c r="C51" i="2"/>
  <c r="B51" i="2"/>
  <c r="G50" i="2"/>
  <c r="F50" i="2"/>
  <c r="E50" i="2"/>
  <c r="D50" i="2"/>
  <c r="C50" i="2"/>
  <c r="B50" i="2"/>
  <c r="G49" i="2"/>
  <c r="F49" i="2"/>
  <c r="E49" i="2"/>
  <c r="D49" i="2"/>
  <c r="C49" i="2"/>
  <c r="B49" i="2"/>
  <c r="G48" i="2"/>
  <c r="F48" i="2"/>
  <c r="E48" i="2"/>
  <c r="D48" i="2"/>
  <c r="C48" i="2"/>
  <c r="B48" i="2"/>
  <c r="G45" i="2"/>
  <c r="F45" i="2"/>
  <c r="E45" i="2"/>
  <c r="D45" i="2"/>
  <c r="C45" i="2"/>
  <c r="G44" i="2"/>
  <c r="F44" i="2"/>
  <c r="E44" i="2"/>
  <c r="D44" i="2"/>
  <c r="C44" i="2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35" i="2"/>
  <c r="F35" i="2"/>
  <c r="E35" i="2"/>
  <c r="D35" i="2"/>
  <c r="C35" i="2"/>
  <c r="G34" i="2"/>
  <c r="F34" i="2"/>
  <c r="E34" i="2"/>
  <c r="D34" i="2"/>
  <c r="C34" i="2"/>
  <c r="G33" i="2"/>
  <c r="F33" i="2"/>
  <c r="E33" i="2"/>
  <c r="D33" i="2"/>
  <c r="C33" i="2"/>
  <c r="G32" i="2"/>
  <c r="F32" i="2"/>
  <c r="E32" i="2"/>
  <c r="D32" i="2"/>
  <c r="C32" i="2"/>
  <c r="G31" i="2"/>
  <c r="F31" i="2"/>
  <c r="E31" i="2"/>
  <c r="D31" i="2"/>
  <c r="C31" i="2"/>
  <c r="G28" i="2"/>
  <c r="F28" i="2"/>
  <c r="E28" i="2"/>
  <c r="D28" i="2"/>
  <c r="C28" i="2"/>
  <c r="G27" i="2"/>
  <c r="F27" i="2"/>
  <c r="E27" i="2"/>
  <c r="D27" i="2"/>
  <c r="C27" i="2"/>
  <c r="G26" i="2"/>
  <c r="F26" i="2"/>
  <c r="E26" i="2"/>
  <c r="D26" i="2"/>
  <c r="C26" i="2"/>
  <c r="G25" i="2"/>
  <c r="F25" i="2"/>
  <c r="E25" i="2"/>
  <c r="D25" i="2"/>
  <c r="C25" i="2"/>
  <c r="G24" i="2"/>
  <c r="F24" i="2"/>
  <c r="E24" i="2"/>
  <c r="D24" i="2"/>
  <c r="C24" i="2"/>
  <c r="G21" i="2"/>
  <c r="F21" i="2"/>
  <c r="E21" i="2"/>
  <c r="D21" i="2"/>
  <c r="C21" i="2"/>
  <c r="G20" i="2"/>
  <c r="F20" i="2"/>
  <c r="E20" i="2"/>
  <c r="D20" i="2"/>
  <c r="C20" i="2"/>
  <c r="G19" i="2"/>
  <c r="F19" i="2"/>
  <c r="E19" i="2"/>
  <c r="D19" i="2"/>
  <c r="C19" i="2"/>
  <c r="G18" i="2"/>
  <c r="F18" i="2"/>
  <c r="E18" i="2"/>
  <c r="D18" i="2"/>
  <c r="C18" i="2"/>
  <c r="G17" i="2"/>
  <c r="F17" i="2"/>
  <c r="E17" i="2"/>
  <c r="D17" i="2"/>
  <c r="C17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1" i="2"/>
  <c r="F11" i="2"/>
  <c r="E11" i="2"/>
  <c r="D11" i="2"/>
  <c r="C11" i="2"/>
  <c r="G10" i="2"/>
  <c r="F10" i="2"/>
  <c r="E10" i="2"/>
  <c r="D10" i="2"/>
  <c r="C10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  <c r="G3" i="2"/>
  <c r="F3" i="2"/>
  <c r="E3" i="2"/>
  <c r="D3" i="2"/>
  <c r="C3" i="2"/>
  <c r="E5" i="3" l="1"/>
  <c r="E2" i="3"/>
  <c r="E6" i="3"/>
</calcChain>
</file>

<file path=xl/sharedStrings.xml><?xml version="1.0" encoding="utf-8"?>
<sst xmlns="http://schemas.openxmlformats.org/spreadsheetml/2006/main" count="344" uniqueCount="172">
  <si>
    <t>📊 ניתוח אימוני SUP — לוח מעקב</t>
  </si>
  <si>
    <t>תאריך</t>
  </si>
  <si>
    <t>סוג אימון</t>
  </si>
  <si>
    <t>מיקום</t>
  </si>
  <si>
    <t>מרחק
(ק״מ)</t>
  </si>
  <si>
    <t>זמן</t>
  </si>
  <si>
    <t>מהירות
(קמ״ש)</t>
  </si>
  <si>
    <t>דופק
ממוצע</t>
  </si>
  <si>
    <t>SPM</t>
  </si>
  <si>
    <t>DPS
(מ׳)</t>
  </si>
  <si>
    <t>זמן Z3</t>
  </si>
  <si>
    <t>זמן Z4</t>
  </si>
  <si>
    <t>זמן Z5</t>
  </si>
  <si>
    <t>03.12.2025</t>
  </si>
  <si>
    <t>ספרינטים</t>
  </si>
  <si>
    <t>ים</t>
  </si>
  <si>
    <t>1:21:09</t>
  </si>
  <si>
    <t>0:38:17</t>
  </si>
  <si>
    <t>0:32:00</t>
  </si>
  <si>
    <t>0:01:15</t>
  </si>
  <si>
    <t>06.12.2025</t>
  </si>
  <si>
    <t>טמפו</t>
  </si>
  <si>
    <t>1:13:53</t>
  </si>
  <si>
    <t>0:28:39</t>
  </si>
  <si>
    <t>0:41:27</t>
  </si>
  <si>
    <t>0:00</t>
  </si>
  <si>
    <t>09.12.2025</t>
  </si>
  <si>
    <t>נחל</t>
  </si>
  <si>
    <t>1:20:11</t>
  </si>
  <si>
    <t>0:40:31</t>
  </si>
  <si>
    <t>0:21:36</t>
  </si>
  <si>
    <t>12.12.2025</t>
  </si>
  <si>
    <t>אירובי</t>
  </si>
  <si>
    <t>1:18:11</t>
  </si>
  <si>
    <t>1:00:35</t>
  </si>
  <si>
    <t>13.12.2025</t>
  </si>
  <si>
    <t>1:15:35</t>
  </si>
  <si>
    <t>0:50:03</t>
  </si>
  <si>
    <t>0:08:19</t>
  </si>
  <si>
    <t>15.12.2025</t>
  </si>
  <si>
    <t>1:20:01</t>
  </si>
  <si>
    <t>0:51:03</t>
  </si>
  <si>
    <t>0:17:29</t>
  </si>
  <si>
    <t>17.12.2025</t>
  </si>
  <si>
    <t>1:19:15</t>
  </si>
  <si>
    <t>1:01:50</t>
  </si>
  <si>
    <t>19.12.2025</t>
  </si>
  <si>
    <t>1:19:43</t>
  </si>
  <si>
    <t>0:59:12</t>
  </si>
  <si>
    <t>0:13:28</t>
  </si>
  <si>
    <t>20.12.2025</t>
  </si>
  <si>
    <t>1:19:53</t>
  </si>
  <si>
    <t>0:43:26</t>
  </si>
  <si>
    <t>0:15:03</t>
  </si>
  <si>
    <t>0:00:26</t>
  </si>
  <si>
    <t>22.12.2025</t>
  </si>
  <si>
    <t>1:24:15</t>
  </si>
  <si>
    <t>26.12.2025</t>
  </si>
  <si>
    <t>1:15:09</t>
  </si>
  <si>
    <t>0:27:52</t>
  </si>
  <si>
    <t>0:39:07</t>
  </si>
  <si>
    <t>27.12.2025</t>
  </si>
  <si>
    <t>1:17:27</t>
  </si>
  <si>
    <t>1:05:37</t>
  </si>
  <si>
    <t>03.01.2026</t>
  </si>
  <si>
    <t>1:18:56</t>
  </si>
  <si>
    <t>1:04:27</t>
  </si>
  <si>
    <t>05.01.2026</t>
  </si>
  <si>
    <t>1:19:46</t>
  </si>
  <si>
    <t>0:45:56</t>
  </si>
  <si>
    <t>0:18:06</t>
  </si>
  <si>
    <t>0:00:16</t>
  </si>
  <si>
    <t>21.01.2026</t>
  </si>
  <si>
    <t>1:20:04</t>
  </si>
  <si>
    <t>0:52:32</t>
  </si>
  <si>
    <t>0:13:35</t>
  </si>
  <si>
    <t>23.01.2026</t>
  </si>
  <si>
    <t>1:21:12</t>
  </si>
  <si>
    <t>0:49:06</t>
  </si>
  <si>
    <t>0:28:36</t>
  </si>
  <si>
    <t>26.01.2026</t>
  </si>
  <si>
    <t>1:18:32</t>
  </si>
  <si>
    <t>0:55:54</t>
  </si>
  <si>
    <t>0:10:59</t>
  </si>
  <si>
    <t>31.01.2026</t>
  </si>
  <si>
    <t>אירובי ארוך</t>
  </si>
  <si>
    <t>1:53:25</t>
  </si>
  <si>
    <t>1:40:49</t>
  </si>
  <si>
    <t>0:02:00</t>
  </si>
  <si>
    <t>02.02.2026</t>
  </si>
  <si>
    <t>1:16:31</t>
  </si>
  <si>
    <t>0:35:51</t>
  </si>
  <si>
    <t>0:30:16</t>
  </si>
  <si>
    <t>04.02.2026</t>
  </si>
  <si>
    <t>1:14:42</t>
  </si>
  <si>
    <t>1:04:15</t>
  </si>
  <si>
    <t>06.02.2026</t>
  </si>
  <si>
    <t>1:19:05</t>
  </si>
  <si>
    <t>0:48:27</t>
  </si>
  <si>
    <t>0:16:26</t>
  </si>
  <si>
    <t>0:00:05</t>
  </si>
  <si>
    <t>07.02.2026</t>
  </si>
  <si>
    <t>2:21:14</t>
  </si>
  <si>
    <t>2:09:11</t>
  </si>
  <si>
    <t>13.02.2026</t>
  </si>
  <si>
    <t>0:12:22</t>
  </si>
  <si>
    <t>1:00:09</t>
  </si>
  <si>
    <t>0:28:06</t>
  </si>
  <si>
    <t>0:31:24</t>
  </si>
  <si>
    <t>16.02.2026</t>
  </si>
  <si>
    <t>1:17:04</t>
  </si>
  <si>
    <t>0:45:03</t>
  </si>
  <si>
    <t>0:18:48</t>
  </si>
  <si>
    <t>0:01:13</t>
  </si>
  <si>
    <t>20.02.2026</t>
  </si>
  <si>
    <t>1:15:25</t>
  </si>
  <si>
    <t>1:05:17</t>
  </si>
  <si>
    <t>23.02.2026</t>
  </si>
  <si>
    <t>1:16:49</t>
  </si>
  <si>
    <t>0:39:01</t>
  </si>
  <si>
    <t>0:31:39</t>
  </si>
  <si>
    <t>25.02.2026</t>
  </si>
  <si>
    <t>1:03:32</t>
  </si>
  <si>
    <t>0:54:41</t>
  </si>
  <si>
    <t>0:04:32</t>
  </si>
  <si>
    <t>24.04.2026</t>
  </si>
  <si>
    <t>0:51:14</t>
  </si>
  <si>
    <t>0:46:19</t>
  </si>
  <si>
    <t>0:00:15</t>
  </si>
  <si>
    <t>25.04.2026</t>
  </si>
  <si>
    <t>59:45</t>
  </si>
  <si>
    <t>37:46</t>
  </si>
  <si>
    <t>10:30</t>
  </si>
  <si>
    <t>27.04.2026</t>
  </si>
  <si>
    <t>1:06:12</t>
  </si>
  <si>
    <t>59:29</t>
  </si>
  <si>
    <t>1:09</t>
  </si>
  <si>
    <t>29.04.2026</t>
  </si>
  <si>
    <t>1:18:33</t>
  </si>
  <si>
    <t>1:12:00</t>
  </si>
  <si>
    <t>1:23</t>
  </si>
  <si>
    <t>01.05.2026</t>
  </si>
  <si>
    <t>1:15:01</t>
  </si>
  <si>
    <t>47:13</t>
  </si>
  <si>
    <t>12:40</t>
  </si>
  <si>
    <t>02.05.2026</t>
  </si>
  <si>
    <t>1:27:38</t>
  </si>
  <si>
    <t>1:04:59</t>
  </si>
  <si>
    <t>📅 SUP — סיכום חודשי לפי סוג אימון 📋</t>
  </si>
  <si>
    <t>חודש</t>
  </si>
  <si>
    <t>אימונים</t>
  </si>
  <si>
    <t>מהירות
ממוצע</t>
  </si>
  <si>
    <t>DPS
ממוצע</t>
  </si>
  <si>
    <t>מרחק
כולל</t>
  </si>
  <si>
    <t>דצמבר 2025</t>
  </si>
  <si>
    <t>סה״כ חודש</t>
  </si>
  <si>
    <t>ינואר 2026</t>
  </si>
  <si>
    <t>פברואר 2026</t>
  </si>
  <si>
    <t>מרץ 2026</t>
  </si>
  <si>
    <t>אפריל 2026</t>
  </si>
  <si>
    <t>מאי 2026</t>
  </si>
  <si>
    <t>סה"כ חודש</t>
  </si>
  <si>
    <t>🏆 סיכום כולל — כל האימונים</t>
  </si>
  <si>
    <t>סה״כ
אימונים</t>
  </si>
  <si>
    <t>סה״כ
ק״מ</t>
  </si>
  <si>
    <t>% מסך
האימונים</t>
  </si>
  <si>
    <t>סה״כ הכל</t>
  </si>
  <si>
    <t>100%</t>
  </si>
  <si>
    <t>מהירות</t>
  </si>
  <si>
    <t>דופק</t>
  </si>
  <si>
    <t>DPS</t>
  </si>
  <si>
    <t>יעילות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</si>
</sst>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</font>
    <font>
      <b/>
      <sz val="10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11"/>
      <color rgb="FFFFFFFF"/>
      <name val="Arial"/>
    </font>
    <font>
      <b/>
      <sz val="11"/>
      <name val="Arial"/>
    </font>
    <font>
      <b/>
      <sz val="11"/>
      <name val="Calibri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A3557"/>
        <bgColor rgb="FF333399"/>
      </patternFill>
    </fill>
    <fill>
      <patternFill patternType="solid">
        <fgColor rgb="FF2196A6"/>
        <bgColor rgb="FF008080"/>
      </patternFill>
    </fill>
    <fill>
      <patternFill patternType="solid">
        <fgColor rgb="FFC8E6C9"/>
      </patternFill>
    </fill>
    <fill>
      <patternFill patternType="solid">
        <fgColor rgb="FFFFD580"/>
      </patternFill>
    </fill>
    <fill>
      <patternFill patternType="solid">
        <fgColor rgb="FFA5D6A7"/>
      </patternFill>
    </fill>
    <fill>
      <patternFill patternType="solid">
        <fgColor rgb="FFFFCDD2"/>
      </patternFill>
    </fill>
    <fill>
      <patternFill patternType="solid">
        <fgColor rgb="FF1A3557"/>
      </patternFill>
    </fill>
    <fill>
      <patternFill patternType="solid">
        <fgColor rgb="FF2196A6"/>
      </patternFill>
    </fill>
    <fill>
      <patternFill patternType="solid">
        <fgColor rgb="FFF0F4F7"/>
      </patternFill>
    </fill>
    <fill>
      <patternFill patternType="solid">
        <fgColor rgb="FFC8E6C9"/>
      </patternFill>
    </fill>
    <fill>
      <patternFill patternType="solid">
        <fgColor rgb="FFA5D6A7"/>
      </patternFill>
    </fill>
    <fill>
      <patternFill patternType="solid">
        <fgColor rgb="FFFFD580"/>
      </patternFill>
    </fill>
    <fill>
      <patternFill patternType="solid">
        <fgColor rgb="FFFFCDD2"/>
      </patternFill>
    </fill>
    <fill>
      <patternFill patternType="solid">
        <fgColor rgb="FFA5D6A7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2" fontId="6" fillId="8" borderId="2" xfId="0" applyNumberFormat="1" applyFont="1" applyFill="1" applyBorder="1" applyAlignment="1">
      <alignment horizontal="center" vertical="center"/>
    </xf>
    <xf numFmtId="9" fontId="3" fillId="11" borderId="2" xfId="0" applyNumberFormat="1" applyFont="1" applyFill="1" applyBorder="1" applyAlignment="1">
      <alignment horizontal="center" vertical="center"/>
    </xf>
    <xf numFmtId="9" fontId="3" fillId="12" borderId="2" xfId="0" applyNumberFormat="1" applyFont="1" applyFill="1" applyBorder="1" applyAlignment="1">
      <alignment horizontal="center" vertical="center"/>
    </xf>
    <xf numFmtId="9" fontId="3" fillId="13" borderId="2" xfId="0" applyNumberFormat="1" applyFont="1" applyFill="1" applyBorder="1" applyAlignment="1">
      <alignment horizontal="center" vertical="center"/>
    </xf>
    <xf numFmtId="9" fontId="3" fillId="14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2" fontId="8" fillId="8" borderId="2" xfId="0" applyNumberFormat="1" applyFont="1" applyFill="1" applyBorder="1" applyAlignment="1">
      <alignment horizontal="center" vertical="center"/>
    </xf>
    <xf numFmtId="0" fontId="9" fillId="0" borderId="0" xfId="0" applyFont="1"/>
    <xf numFmtId="0" fontId="7" fillId="9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1" fontId="3" fillId="11" borderId="2" xfId="0" applyNumberFormat="1" applyFont="1" applyFill="1" applyBorder="1" applyAlignment="1">
      <alignment horizontal="center" vertical="center"/>
    </xf>
    <xf numFmtId="1" fontId="3" fillId="12" borderId="2" xfId="0" applyNumberFormat="1" applyFont="1" applyFill="1" applyBorder="1" applyAlignment="1">
      <alignment horizontal="center" vertical="center"/>
    </xf>
    <xf numFmtId="1" fontId="3" fillId="13" borderId="2" xfId="0" applyNumberFormat="1" applyFont="1" applyFill="1" applyBorder="1" applyAlignment="1">
      <alignment horizontal="center" vertical="center"/>
    </xf>
    <xf numFmtId="1" fontId="3" fillId="14" borderId="2" xfId="0" applyNumberFormat="1" applyFont="1" applyFill="1" applyBorder="1" applyAlignment="1">
      <alignment horizontal="center" vertical="center"/>
    </xf>
    <xf numFmtId="1" fontId="6" fillId="8" borderId="2" xfId="0" applyNumberFormat="1" applyFont="1" applyFill="1" applyBorder="1" applyAlignment="1">
      <alignment horizontal="center" vertical="center"/>
    </xf>
    <xf numFmtId="1" fontId="6" fillId="9" borderId="2" xfId="0" applyNumberFormat="1" applyFont="1" applyFill="1" applyBorder="1" applyAlignment="1">
      <alignment horizontal="center" vertical="center" wrapText="1"/>
    </xf>
    <xf numFmtId="1" fontId="8" fillId="8" borderId="2" xfId="0" applyNumberFormat="1" applyFont="1" applyFill="1" applyBorder="1" applyAlignment="1">
      <alignment horizontal="center" vertical="center"/>
    </xf>
    <xf numFmtId="0" fontId="10" fillId="15" borderId="0" xfId="0" applyFont="1" applyFill="1" applyAlignment="1">
      <alignment horizontal="center"/>
    </xf>
    <xf numFmtId="1" fontId="11" fillId="15" borderId="0" xfId="0" applyNumberFormat="1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8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D580"/>
          <bgColor rgb="FFFFD580"/>
        </patternFill>
      </fill>
    </dxf>
    <dxf>
      <fill>
        <patternFill patternType="solid">
          <fgColor rgb="FFA5D6A7"/>
          <bgColor rgb="FFA5D6A7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B0BEC5"/>
      <rgbColor rgb="FF878787"/>
      <rgbColor rgb="FF9999FF"/>
      <rgbColor rgb="FFE53935"/>
      <rgbColor rgb="FFF5F5F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A5D6A7"/>
      <rgbColor rgb="FFFF99CC"/>
      <rgbColor rgb="FFCC99FF"/>
      <rgbColor rgb="FFFFD580"/>
      <rgbColor rgb="FF3366FF"/>
      <rgbColor rgb="FF33CCCC"/>
      <rgbColor rgb="FF99CC00"/>
      <rgbColor rgb="FFFFCC00"/>
      <rgbColor rgb="FFFF9900"/>
      <rgbColor rgb="FFFF6B35"/>
      <rgbColor rgb="FF666699"/>
      <rgbColor rgb="FF969696"/>
      <rgbColor rgb="FF1A3557"/>
      <rgbColor rgb="FF2196A6"/>
      <rgbColor rgb="FF003300"/>
      <rgbColor rgb="FF333300"/>
      <rgbColor rgb="FFE65100"/>
      <rgbColor rgb="FF993366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📈 מהירות קמ״ש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גרפים!$B$1</c:f>
              <c:strCache>
                <c:ptCount val="1"/>
                <c:pt idx="0">
                  <c:v>מהירות</c:v>
                </c:pt>
              </c:strCache>
            </c:strRef>
          </c:tx>
          <c:spPr>
            <a:ln w="28000">
              <a:solidFill>
                <a:srgbClr val="2196A6"/>
              </a:solidFill>
              <a:prstDash val="solid"/>
            </a:ln>
          </c:spPr>
          <c:marker>
            <c:symbol val="circle"/>
            <c:size val="8"/>
            <c:spPr>
              <a:solidFill>
                <a:srgbClr val="2196A6"/>
              </a:solidFill>
              <a:ln>
                <a:solidFill>
                  <a:srgbClr val="2196A6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גרפים!$B$2:$B$5</c:f>
              <c:numCache>
                <c:formatCode>General</c:formatCode>
                <c:ptCount val="4"/>
                <c:pt idx="0">
                  <c:v>7.0333333333333323</c:v>
                </c:pt>
                <c:pt idx="1">
                  <c:v>6.8166666666666664</c:v>
                </c:pt>
                <c:pt idx="2">
                  <c:v>7.3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16-4720-BF07-106AA207A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9.5"/>
          <c:min val="6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❤️ דופק ממוצע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גרפים!$C$1</c:f>
              <c:strCache>
                <c:ptCount val="1"/>
                <c:pt idx="0">
                  <c:v>דופק</c:v>
                </c:pt>
              </c:strCache>
            </c:strRef>
          </c:tx>
          <c:spPr>
            <a:ln w="28000">
              <a:solidFill>
                <a:srgbClr val="E53935"/>
              </a:solidFill>
              <a:prstDash val="solid"/>
            </a:ln>
          </c:spPr>
          <c:marker>
            <c:symbol val="diamond"/>
            <c:size val="8"/>
            <c:spPr>
              <a:solidFill>
                <a:srgbClr val="E53935"/>
              </a:solidFill>
              <a:ln>
                <a:solidFill>
                  <a:srgbClr val="E5393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גרפים!$C$2:$C$5</c:f>
              <c:numCache>
                <c:formatCode>General</c:formatCode>
                <c:ptCount val="4"/>
                <c:pt idx="0">
                  <c:v>132.58333333333334</c:v>
                </c:pt>
                <c:pt idx="1">
                  <c:v>136.83333333333334</c:v>
                </c:pt>
                <c:pt idx="2">
                  <c:v>135.5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49-40F1-B892-3B856527F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60"/>
          <c:min val="115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🏓 </a:t>
            </a:r>
            <a:r>
              <a:rPr lang="en-US"/>
              <a:t>DPS </a:t>
            </a:r>
            <a:r>
              <a:rPr lang="he-IL"/>
              <a:t>מרחק לפאדל (מ׳)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גרפים!$D$1</c:f>
              <c:strCache>
                <c:ptCount val="1"/>
                <c:pt idx="0">
                  <c:v>DPS</c:v>
                </c:pt>
              </c:strCache>
            </c:strRef>
          </c:tx>
          <c:spPr>
            <a:ln w="28000">
              <a:solidFill>
                <a:srgbClr val="1A3557"/>
              </a:solidFill>
              <a:prstDash val="solid"/>
            </a:ln>
          </c:spPr>
          <c:marker>
            <c:symbol val="square"/>
            <c:size val="8"/>
            <c:spPr>
              <a:solidFill>
                <a:srgbClr val="1A3557"/>
              </a:solidFill>
              <a:ln>
                <a:solidFill>
                  <a:srgbClr val="1A3557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גרפים!$D$2:$D$5</c:f>
              <c:numCache>
                <c:formatCode>General</c:formatCode>
                <c:ptCount val="4"/>
                <c:pt idx="0">
                  <c:v>3.0375000000000001</c:v>
                </c:pt>
                <c:pt idx="1">
                  <c:v>2.97</c:v>
                </c:pt>
                <c:pt idx="2">
                  <c:v>3.15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4B-49B5-A455-4C1871861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.8"/>
          <c:min val="2.5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⚡ יעילות (מהירות÷דופק)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גרפים!$E$1</c:f>
              <c:strCache>
                <c:ptCount val="1"/>
                <c:pt idx="0">
                  <c:v>יעילות</c:v>
                </c:pt>
              </c:strCache>
            </c:strRef>
          </c:tx>
          <c:spPr>
            <a:ln w="28000">
              <a:solidFill>
                <a:srgbClr val="FF6B35"/>
              </a:solidFill>
              <a:prstDash val="solid"/>
            </a:ln>
          </c:spPr>
          <c:marker>
            <c:symbol val="triangle"/>
            <c:size val="8"/>
            <c:spPr>
              <a:solidFill>
                <a:srgbClr val="FF6B35"/>
              </a:solidFill>
              <a:ln>
                <a:solidFill>
                  <a:srgbClr val="FF6B3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גרפים!$E$2:$E$5</c:f>
              <c:numCache>
                <c:formatCode>General</c:formatCode>
                <c:ptCount val="4"/>
                <c:pt idx="0">
                  <c:v>5.3048397234443732E-2</c:v>
                </c:pt>
                <c:pt idx="1">
                  <c:v>4.9817295980511565E-2</c:v>
                </c:pt>
                <c:pt idx="2">
                  <c:v>5.3874538745387453E-2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20-4B61-A3D6-9044443CF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7.0000000000000007E-2"/>
          <c:min val="0.04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68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0</xdr:row>
      <xdr:rowOff>0</xdr:rowOff>
    </xdr:from>
    <xdr:ext cx="468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468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68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rightToLeft="1" tabSelected="1" zoomScaleNormal="100" workbookViewId="0">
      <pane ySplit="2" topLeftCell="A18" activePane="bottomLeft" state="frozen"/>
      <selection pane="bottomLeft" activeCell="E38" sqref="E38"/>
    </sheetView>
  </sheetViews>
  <sheetFormatPr defaultColWidth="8.6640625" defaultRowHeight="14.4" x14ac:dyDescent="0.3"/>
  <cols>
    <col min="1" max="1" width="13" style="39" customWidth="1"/>
    <col min="2" max="2" width="14" style="39" customWidth="1"/>
    <col min="3" max="5" width="10" style="39" customWidth="1"/>
    <col min="6" max="7" width="12" style="39" customWidth="1"/>
    <col min="8" max="8" width="8" style="39" customWidth="1"/>
    <col min="9" max="9" width="10" style="39" customWidth="1"/>
    <col min="10" max="10" width="12" style="39" customWidth="1"/>
    <col min="11" max="12" width="10" style="39" customWidth="1"/>
  </cols>
  <sheetData>
    <row r="1" spans="1:12" ht="33.75" customHeight="1" x14ac:dyDescent="0.3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33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</row>
    <row r="3" spans="1:12" ht="22.05" customHeight="1" x14ac:dyDescent="0.3">
      <c r="A3" s="2" t="s">
        <v>13</v>
      </c>
      <c r="B3" s="6" t="s">
        <v>14</v>
      </c>
      <c r="C3" s="6" t="s">
        <v>15</v>
      </c>
      <c r="D3" s="6">
        <v>6.95</v>
      </c>
      <c r="E3" s="6" t="s">
        <v>16</v>
      </c>
      <c r="F3" s="6">
        <v>5.0999999999999996</v>
      </c>
      <c r="G3" s="6">
        <v>142</v>
      </c>
      <c r="H3" s="6">
        <v>32</v>
      </c>
      <c r="I3" s="6">
        <v>2.79</v>
      </c>
      <c r="J3" s="6" t="s">
        <v>17</v>
      </c>
      <c r="K3" s="6" t="s">
        <v>18</v>
      </c>
      <c r="L3" s="6" t="s">
        <v>19</v>
      </c>
    </row>
    <row r="4" spans="1:12" ht="22.05" customHeight="1" x14ac:dyDescent="0.3">
      <c r="A4" s="2" t="s">
        <v>20</v>
      </c>
      <c r="B4" s="4" t="s">
        <v>21</v>
      </c>
      <c r="C4" s="4" t="s">
        <v>15</v>
      </c>
      <c r="D4" s="4">
        <v>9.6</v>
      </c>
      <c r="E4" s="4" t="s">
        <v>22</v>
      </c>
      <c r="F4" s="4">
        <v>7.8</v>
      </c>
      <c r="G4" s="4">
        <v>146</v>
      </c>
      <c r="H4" s="4">
        <v>43</v>
      </c>
      <c r="I4" s="4">
        <v>3.01</v>
      </c>
      <c r="J4" s="4" t="s">
        <v>23</v>
      </c>
      <c r="K4" s="4" t="s">
        <v>24</v>
      </c>
      <c r="L4" s="4" t="s">
        <v>25</v>
      </c>
    </row>
    <row r="5" spans="1:12" ht="22.05" customHeight="1" x14ac:dyDescent="0.3">
      <c r="A5" s="2" t="s">
        <v>26</v>
      </c>
      <c r="B5" s="4" t="s">
        <v>21</v>
      </c>
      <c r="C5" s="4" t="s">
        <v>27</v>
      </c>
      <c r="D5" s="4">
        <v>10.36</v>
      </c>
      <c r="E5" s="4" t="s">
        <v>28</v>
      </c>
      <c r="F5" s="4">
        <v>7.8</v>
      </c>
      <c r="G5" s="4">
        <v>136</v>
      </c>
      <c r="H5" s="4">
        <v>41</v>
      </c>
      <c r="I5" s="4">
        <v>3.17</v>
      </c>
      <c r="J5" s="4" t="s">
        <v>29</v>
      </c>
      <c r="K5" s="4" t="s">
        <v>30</v>
      </c>
      <c r="L5" s="4" t="s">
        <v>25</v>
      </c>
    </row>
    <row r="6" spans="1:12" ht="22.05" customHeight="1" x14ac:dyDescent="0.3">
      <c r="A6" s="2" t="s">
        <v>31</v>
      </c>
      <c r="B6" s="3" t="s">
        <v>32</v>
      </c>
      <c r="C6" s="3" t="s">
        <v>27</v>
      </c>
      <c r="D6" s="3">
        <v>9.32</v>
      </c>
      <c r="E6" s="3" t="s">
        <v>33</v>
      </c>
      <c r="F6" s="3">
        <v>7.1</v>
      </c>
      <c r="G6" s="3">
        <v>129</v>
      </c>
      <c r="H6" s="3">
        <v>37</v>
      </c>
      <c r="I6" s="3">
        <v>3.29</v>
      </c>
      <c r="J6" s="3" t="s">
        <v>34</v>
      </c>
      <c r="K6" s="3" t="s">
        <v>25</v>
      </c>
      <c r="L6" s="3" t="s">
        <v>25</v>
      </c>
    </row>
    <row r="7" spans="1:12" ht="22.05" customHeight="1" x14ac:dyDescent="0.3">
      <c r="A7" s="2" t="s">
        <v>35</v>
      </c>
      <c r="B7" s="6" t="s">
        <v>14</v>
      </c>
      <c r="C7" s="6" t="s">
        <v>15</v>
      </c>
      <c r="D7" s="6">
        <v>8.6300000000000008</v>
      </c>
      <c r="E7" s="6" t="s">
        <v>36</v>
      </c>
      <c r="F7" s="6">
        <v>6.8</v>
      </c>
      <c r="G7" s="6">
        <v>133</v>
      </c>
      <c r="H7" s="6">
        <v>39</v>
      </c>
      <c r="I7" s="6">
        <v>2.96</v>
      </c>
      <c r="J7" s="6" t="s">
        <v>37</v>
      </c>
      <c r="K7" s="6" t="s">
        <v>38</v>
      </c>
      <c r="L7" s="6" t="s">
        <v>25</v>
      </c>
    </row>
    <row r="8" spans="1:12" ht="22.05" customHeight="1" x14ac:dyDescent="0.3">
      <c r="A8" s="2" t="s">
        <v>39</v>
      </c>
      <c r="B8" s="4" t="s">
        <v>21</v>
      </c>
      <c r="C8" s="4" t="s">
        <v>15</v>
      </c>
      <c r="D8" s="4">
        <v>9.7200000000000006</v>
      </c>
      <c r="E8" s="4" t="s">
        <v>40</v>
      </c>
      <c r="F8" s="4">
        <v>7.3</v>
      </c>
      <c r="G8" s="4">
        <v>139</v>
      </c>
      <c r="H8" s="4">
        <v>40</v>
      </c>
      <c r="I8" s="4">
        <v>3.03</v>
      </c>
      <c r="J8" s="4" t="s">
        <v>41</v>
      </c>
      <c r="K8" s="4" t="s">
        <v>42</v>
      </c>
      <c r="L8" s="4" t="s">
        <v>25</v>
      </c>
    </row>
    <row r="9" spans="1:12" ht="22.05" customHeight="1" x14ac:dyDescent="0.3">
      <c r="A9" s="2" t="s">
        <v>43</v>
      </c>
      <c r="B9" s="3" t="s">
        <v>32</v>
      </c>
      <c r="C9" s="3" t="s">
        <v>27</v>
      </c>
      <c r="D9" s="3">
        <v>9.98</v>
      </c>
      <c r="E9" s="3" t="s">
        <v>44</v>
      </c>
      <c r="F9" s="3">
        <v>7.6</v>
      </c>
      <c r="G9" s="3">
        <v>130</v>
      </c>
      <c r="H9" s="3">
        <v>39</v>
      </c>
      <c r="I9" s="3">
        <v>3.28</v>
      </c>
      <c r="J9" s="3" t="s">
        <v>45</v>
      </c>
      <c r="K9" s="3" t="s">
        <v>25</v>
      </c>
      <c r="L9" s="3" t="s">
        <v>25</v>
      </c>
    </row>
    <row r="10" spans="1:12" ht="22.05" customHeight="1" x14ac:dyDescent="0.3">
      <c r="A10" s="2" t="s">
        <v>46</v>
      </c>
      <c r="B10" s="3" t="s">
        <v>32</v>
      </c>
      <c r="C10" s="3" t="s">
        <v>15</v>
      </c>
      <c r="D10" s="3">
        <v>9.75</v>
      </c>
      <c r="E10" s="3" t="s">
        <v>47</v>
      </c>
      <c r="F10" s="3">
        <v>7.3</v>
      </c>
      <c r="G10" s="3">
        <v>139</v>
      </c>
      <c r="H10" s="3">
        <v>41</v>
      </c>
      <c r="I10" s="3">
        <v>2.99</v>
      </c>
      <c r="J10" s="3" t="s">
        <v>48</v>
      </c>
      <c r="K10" s="3" t="s">
        <v>49</v>
      </c>
      <c r="L10" s="3" t="s">
        <v>25</v>
      </c>
    </row>
    <row r="11" spans="1:12" ht="22.05" customHeight="1" x14ac:dyDescent="0.3">
      <c r="A11" s="2" t="s">
        <v>50</v>
      </c>
      <c r="B11" s="3" t="s">
        <v>32</v>
      </c>
      <c r="C11" s="3" t="s">
        <v>15</v>
      </c>
      <c r="D11" s="3">
        <v>9.14</v>
      </c>
      <c r="E11" s="3" t="s">
        <v>51</v>
      </c>
      <c r="F11" s="3">
        <v>6.9</v>
      </c>
      <c r="G11" s="3">
        <v>134</v>
      </c>
      <c r="H11" s="3">
        <v>41</v>
      </c>
      <c r="I11" s="3">
        <v>2.8</v>
      </c>
      <c r="J11" s="3" t="s">
        <v>52</v>
      </c>
      <c r="K11" s="3" t="s">
        <v>53</v>
      </c>
      <c r="L11" s="3" t="s">
        <v>54</v>
      </c>
    </row>
    <row r="12" spans="1:12" ht="22.05" customHeight="1" x14ac:dyDescent="0.3">
      <c r="A12" s="2" t="s">
        <v>55</v>
      </c>
      <c r="B12" s="6" t="s">
        <v>14</v>
      </c>
      <c r="C12" s="6" t="s">
        <v>15</v>
      </c>
      <c r="D12" s="6">
        <v>8.01</v>
      </c>
      <c r="E12" s="6" t="s">
        <v>56</v>
      </c>
      <c r="F12" s="6">
        <v>5.7</v>
      </c>
      <c r="G12" s="6">
        <v>85</v>
      </c>
      <c r="H12" s="6">
        <v>34</v>
      </c>
      <c r="I12" s="6">
        <v>2.8</v>
      </c>
      <c r="J12" s="6" t="s">
        <v>25</v>
      </c>
      <c r="K12" s="6" t="s">
        <v>25</v>
      </c>
      <c r="L12" s="6" t="s">
        <v>25</v>
      </c>
    </row>
    <row r="13" spans="1:12" ht="22.05" customHeight="1" x14ac:dyDescent="0.3">
      <c r="A13" s="2" t="s">
        <v>57</v>
      </c>
      <c r="B13" s="4" t="s">
        <v>21</v>
      </c>
      <c r="C13" s="4" t="s">
        <v>15</v>
      </c>
      <c r="D13" s="4">
        <v>9.23</v>
      </c>
      <c r="E13" s="4" t="s">
        <v>58</v>
      </c>
      <c r="F13" s="4">
        <v>7.4</v>
      </c>
      <c r="G13" s="4">
        <v>144</v>
      </c>
      <c r="H13" s="4">
        <v>40</v>
      </c>
      <c r="I13" s="4">
        <v>3.07</v>
      </c>
      <c r="J13" s="4" t="s">
        <v>59</v>
      </c>
      <c r="K13" s="4" t="s">
        <v>60</v>
      </c>
      <c r="L13" s="4" t="s">
        <v>25</v>
      </c>
    </row>
    <row r="14" spans="1:12" ht="22.05" customHeight="1" x14ac:dyDescent="0.3">
      <c r="A14" s="2" t="s">
        <v>61</v>
      </c>
      <c r="B14" s="3" t="s">
        <v>32</v>
      </c>
      <c r="C14" s="3" t="s">
        <v>27</v>
      </c>
      <c r="D14" s="3">
        <v>9.8000000000000007</v>
      </c>
      <c r="E14" s="3" t="s">
        <v>62</v>
      </c>
      <c r="F14" s="3">
        <v>7.6</v>
      </c>
      <c r="G14" s="3">
        <v>134</v>
      </c>
      <c r="H14" s="3">
        <v>39</v>
      </c>
      <c r="I14" s="3">
        <v>3.26</v>
      </c>
      <c r="J14" s="3" t="s">
        <v>63</v>
      </c>
      <c r="K14" s="3" t="s">
        <v>25</v>
      </c>
      <c r="L14" s="3" t="s">
        <v>25</v>
      </c>
    </row>
    <row r="15" spans="1:12" ht="22.05" customHeight="1" x14ac:dyDescent="0.3">
      <c r="A15" s="2" t="s">
        <v>64</v>
      </c>
      <c r="B15" s="3" t="s">
        <v>32</v>
      </c>
      <c r="C15" s="3" t="s">
        <v>27</v>
      </c>
      <c r="D15" s="3">
        <v>9.68</v>
      </c>
      <c r="E15" s="3" t="s">
        <v>65</v>
      </c>
      <c r="F15" s="3">
        <v>7.4</v>
      </c>
      <c r="G15" s="3">
        <v>131</v>
      </c>
      <c r="H15" s="3">
        <v>40</v>
      </c>
      <c r="I15" s="3">
        <v>3.11</v>
      </c>
      <c r="J15" s="3" t="s">
        <v>66</v>
      </c>
      <c r="K15" s="3" t="s">
        <v>25</v>
      </c>
      <c r="L15" s="3" t="s">
        <v>25</v>
      </c>
    </row>
    <row r="16" spans="1:12" ht="22.05" customHeight="1" x14ac:dyDescent="0.3">
      <c r="A16" s="2" t="s">
        <v>67</v>
      </c>
      <c r="B16" s="4" t="s">
        <v>21</v>
      </c>
      <c r="C16" s="4" t="s">
        <v>15</v>
      </c>
      <c r="D16" s="4">
        <v>9.5</v>
      </c>
      <c r="E16" s="4" t="s">
        <v>68</v>
      </c>
      <c r="F16" s="4">
        <v>7.1</v>
      </c>
      <c r="G16" s="4">
        <v>138</v>
      </c>
      <c r="H16" s="4">
        <v>41</v>
      </c>
      <c r="I16" s="4">
        <v>2.95</v>
      </c>
      <c r="J16" s="4" t="s">
        <v>69</v>
      </c>
      <c r="K16" s="4" t="s">
        <v>70</v>
      </c>
      <c r="L16" s="4" t="s">
        <v>71</v>
      </c>
    </row>
    <row r="17" spans="1:12" ht="22.05" customHeight="1" x14ac:dyDescent="0.3">
      <c r="A17" s="2" t="s">
        <v>72</v>
      </c>
      <c r="B17" s="4" t="s">
        <v>21</v>
      </c>
      <c r="C17" s="4" t="s">
        <v>15</v>
      </c>
      <c r="D17" s="4">
        <v>8.91</v>
      </c>
      <c r="E17" s="4" t="s">
        <v>73</v>
      </c>
      <c r="F17" s="4">
        <v>6.7</v>
      </c>
      <c r="G17" s="4">
        <v>135</v>
      </c>
      <c r="H17" s="4">
        <v>40</v>
      </c>
      <c r="I17" s="4">
        <v>2.8</v>
      </c>
      <c r="J17" s="4" t="s">
        <v>74</v>
      </c>
      <c r="K17" s="4" t="s">
        <v>75</v>
      </c>
      <c r="L17" s="4" t="s">
        <v>25</v>
      </c>
    </row>
    <row r="18" spans="1:12" ht="22.05" customHeight="1" x14ac:dyDescent="0.3">
      <c r="A18" s="2" t="s">
        <v>76</v>
      </c>
      <c r="B18" s="4" t="s">
        <v>21</v>
      </c>
      <c r="C18" s="4" t="s">
        <v>15</v>
      </c>
      <c r="D18" s="4">
        <v>6.47</v>
      </c>
      <c r="E18" s="4" t="s">
        <v>77</v>
      </c>
      <c r="F18" s="4">
        <v>4.8</v>
      </c>
      <c r="G18" s="4">
        <v>141</v>
      </c>
      <c r="H18" s="4">
        <v>35</v>
      </c>
      <c r="I18" s="4">
        <v>2.4</v>
      </c>
      <c r="J18" s="4" t="s">
        <v>78</v>
      </c>
      <c r="K18" s="4" t="s">
        <v>79</v>
      </c>
      <c r="L18" s="4" t="s">
        <v>25</v>
      </c>
    </row>
    <row r="19" spans="1:12" ht="22.05" customHeight="1" x14ac:dyDescent="0.3">
      <c r="A19" s="2" t="s">
        <v>80</v>
      </c>
      <c r="B19" s="3" t="s">
        <v>32</v>
      </c>
      <c r="C19" s="3" t="s">
        <v>15</v>
      </c>
      <c r="D19" s="3">
        <v>9.35</v>
      </c>
      <c r="E19" s="3" t="s">
        <v>81</v>
      </c>
      <c r="F19" s="3">
        <v>7.1</v>
      </c>
      <c r="G19" s="3">
        <v>138</v>
      </c>
      <c r="H19" s="3">
        <v>37</v>
      </c>
      <c r="I19" s="3">
        <v>3.19</v>
      </c>
      <c r="J19" s="3" t="s">
        <v>82</v>
      </c>
      <c r="K19" s="3" t="s">
        <v>83</v>
      </c>
      <c r="L19" s="3" t="s">
        <v>25</v>
      </c>
    </row>
    <row r="20" spans="1:12" ht="22.05" customHeight="1" x14ac:dyDescent="0.3">
      <c r="A20" s="2" t="s">
        <v>84</v>
      </c>
      <c r="B20" s="5" t="s">
        <v>85</v>
      </c>
      <c r="C20" s="5" t="s">
        <v>27</v>
      </c>
      <c r="D20" s="5">
        <v>14.65</v>
      </c>
      <c r="E20" s="5" t="s">
        <v>86</v>
      </c>
      <c r="F20" s="5">
        <v>7.8</v>
      </c>
      <c r="G20" s="5">
        <v>138</v>
      </c>
      <c r="H20" s="5">
        <v>39</v>
      </c>
      <c r="I20" s="5">
        <v>3.37</v>
      </c>
      <c r="J20" s="5" t="s">
        <v>87</v>
      </c>
      <c r="K20" s="5" t="s">
        <v>88</v>
      </c>
      <c r="L20" s="5" t="s">
        <v>25</v>
      </c>
    </row>
    <row r="21" spans="1:12" ht="22.05" customHeight="1" x14ac:dyDescent="0.3">
      <c r="A21" s="2" t="s">
        <v>89</v>
      </c>
      <c r="B21" s="4" t="s">
        <v>21</v>
      </c>
      <c r="C21" s="4" t="s">
        <v>15</v>
      </c>
      <c r="D21" s="4">
        <v>8.67</v>
      </c>
      <c r="E21" s="4" t="s">
        <v>90</v>
      </c>
      <c r="F21" s="4">
        <v>6.8</v>
      </c>
      <c r="G21" s="4">
        <v>142</v>
      </c>
      <c r="H21" s="4">
        <v>38</v>
      </c>
      <c r="I21" s="4">
        <v>2.98</v>
      </c>
      <c r="J21" s="4" t="s">
        <v>91</v>
      </c>
      <c r="K21" s="4" t="s">
        <v>92</v>
      </c>
      <c r="L21" s="4" t="s">
        <v>25</v>
      </c>
    </row>
    <row r="22" spans="1:12" ht="22.05" customHeight="1" x14ac:dyDescent="0.3">
      <c r="A22" s="2" t="s">
        <v>93</v>
      </c>
      <c r="B22" s="3" t="s">
        <v>32</v>
      </c>
      <c r="C22" s="3" t="s">
        <v>27</v>
      </c>
      <c r="D22" s="3">
        <v>9.52</v>
      </c>
      <c r="E22" s="3" t="s">
        <v>94</v>
      </c>
      <c r="F22" s="3">
        <v>7.6</v>
      </c>
      <c r="G22" s="3">
        <v>135</v>
      </c>
      <c r="H22" s="3">
        <v>39</v>
      </c>
      <c r="I22" s="3">
        <v>3.3</v>
      </c>
      <c r="J22" s="3" t="s">
        <v>95</v>
      </c>
      <c r="K22" s="3" t="s">
        <v>25</v>
      </c>
      <c r="L22" s="3" t="s">
        <v>25</v>
      </c>
    </row>
    <row r="23" spans="1:12" ht="22.05" customHeight="1" x14ac:dyDescent="0.3">
      <c r="A23" s="2" t="s">
        <v>96</v>
      </c>
      <c r="B23" s="6" t="s">
        <v>14</v>
      </c>
      <c r="C23" s="6" t="s">
        <v>15</v>
      </c>
      <c r="D23" s="6">
        <v>9.32</v>
      </c>
      <c r="E23" s="6" t="s">
        <v>97</v>
      </c>
      <c r="F23" s="6">
        <v>7.1</v>
      </c>
      <c r="G23" s="6">
        <v>136</v>
      </c>
      <c r="H23" s="6">
        <v>40</v>
      </c>
      <c r="I23" s="6">
        <v>3.02</v>
      </c>
      <c r="J23" s="6" t="s">
        <v>98</v>
      </c>
      <c r="K23" s="6" t="s">
        <v>99</v>
      </c>
      <c r="L23" s="6" t="s">
        <v>100</v>
      </c>
    </row>
    <row r="24" spans="1:12" ht="22.05" customHeight="1" x14ac:dyDescent="0.3">
      <c r="A24" s="2" t="s">
        <v>101</v>
      </c>
      <c r="B24" s="5" t="s">
        <v>85</v>
      </c>
      <c r="C24" s="5" t="s">
        <v>27</v>
      </c>
      <c r="D24" s="5">
        <v>18.97</v>
      </c>
      <c r="E24" s="5" t="s">
        <v>102</v>
      </c>
      <c r="F24" s="5">
        <v>8.1</v>
      </c>
      <c r="G24" s="5">
        <v>133</v>
      </c>
      <c r="H24" s="5">
        <v>41</v>
      </c>
      <c r="I24" s="5">
        <v>3.29</v>
      </c>
      <c r="J24" s="5" t="s">
        <v>103</v>
      </c>
      <c r="K24" s="5" t="s">
        <v>25</v>
      </c>
      <c r="L24" s="5" t="s">
        <v>25</v>
      </c>
    </row>
    <row r="25" spans="1:12" ht="22.05" customHeight="1" x14ac:dyDescent="0.3">
      <c r="A25" s="2" t="s">
        <v>104</v>
      </c>
      <c r="B25" s="3" t="s">
        <v>32</v>
      </c>
      <c r="C25" s="3" t="s">
        <v>27</v>
      </c>
      <c r="D25" s="3">
        <v>1.47</v>
      </c>
      <c r="E25" s="3" t="s">
        <v>105</v>
      </c>
      <c r="F25" s="3">
        <v>7.1</v>
      </c>
      <c r="G25" s="3">
        <v>106</v>
      </c>
      <c r="H25" s="3">
        <v>38</v>
      </c>
      <c r="I25" s="3">
        <v>3.18</v>
      </c>
      <c r="J25" s="3" t="s">
        <v>25</v>
      </c>
      <c r="K25" s="3" t="s">
        <v>25</v>
      </c>
      <c r="L25" s="3" t="s">
        <v>25</v>
      </c>
    </row>
    <row r="26" spans="1:12" ht="22.05" customHeight="1" x14ac:dyDescent="0.3">
      <c r="A26" s="2" t="s">
        <v>104</v>
      </c>
      <c r="B26" s="4" t="s">
        <v>21</v>
      </c>
      <c r="C26" s="4" t="s">
        <v>27</v>
      </c>
      <c r="D26" s="4">
        <v>8.11</v>
      </c>
      <c r="E26" s="4" t="s">
        <v>106</v>
      </c>
      <c r="F26" s="4">
        <v>8.1</v>
      </c>
      <c r="G26" s="4">
        <v>146</v>
      </c>
      <c r="H26" s="4">
        <v>42</v>
      </c>
      <c r="I26" s="4">
        <v>3.26</v>
      </c>
      <c r="J26" s="4" t="s">
        <v>107</v>
      </c>
      <c r="K26" s="4" t="s">
        <v>108</v>
      </c>
      <c r="L26" s="4" t="s">
        <v>25</v>
      </c>
    </row>
    <row r="27" spans="1:12" ht="22.05" customHeight="1" x14ac:dyDescent="0.3">
      <c r="A27" s="2" t="s">
        <v>109</v>
      </c>
      <c r="B27" s="6" t="s">
        <v>14</v>
      </c>
      <c r="C27" s="6" t="s">
        <v>15</v>
      </c>
      <c r="D27" s="6">
        <v>8.8000000000000007</v>
      </c>
      <c r="E27" s="6" t="s">
        <v>110</v>
      </c>
      <c r="F27" s="6">
        <v>6.8</v>
      </c>
      <c r="G27" s="6">
        <v>139</v>
      </c>
      <c r="H27" s="6">
        <v>39</v>
      </c>
      <c r="I27" s="6">
        <v>2.99</v>
      </c>
      <c r="J27" s="6" t="s">
        <v>111</v>
      </c>
      <c r="K27" s="6" t="s">
        <v>112</v>
      </c>
      <c r="L27" s="6" t="s">
        <v>113</v>
      </c>
    </row>
    <row r="28" spans="1:12" ht="22.05" customHeight="1" x14ac:dyDescent="0.3">
      <c r="A28" s="2" t="s">
        <v>114</v>
      </c>
      <c r="B28" s="3" t="s">
        <v>32</v>
      </c>
      <c r="C28" s="3" t="s">
        <v>27</v>
      </c>
      <c r="D28" s="3">
        <v>9.91</v>
      </c>
      <c r="E28" s="3" t="s">
        <v>115</v>
      </c>
      <c r="F28" s="3">
        <v>7.9</v>
      </c>
      <c r="G28" s="3">
        <v>136</v>
      </c>
      <c r="H28" s="3">
        <v>37</v>
      </c>
      <c r="I28" s="3">
        <v>3.54</v>
      </c>
      <c r="J28" s="3" t="s">
        <v>116</v>
      </c>
      <c r="K28" s="3" t="s">
        <v>54</v>
      </c>
      <c r="L28" s="3" t="s">
        <v>25</v>
      </c>
    </row>
    <row r="29" spans="1:12" ht="22.05" customHeight="1" x14ac:dyDescent="0.3">
      <c r="A29" s="2" t="s">
        <v>117</v>
      </c>
      <c r="B29" s="4" t="s">
        <v>21</v>
      </c>
      <c r="C29" s="4" t="s">
        <v>15</v>
      </c>
      <c r="D29" s="4">
        <v>8.9499999999999993</v>
      </c>
      <c r="E29" s="4" t="s">
        <v>118</v>
      </c>
      <c r="F29" s="4">
        <v>7</v>
      </c>
      <c r="G29" s="4">
        <v>144</v>
      </c>
      <c r="H29" s="4">
        <v>39</v>
      </c>
      <c r="I29" s="4">
        <v>3.06</v>
      </c>
      <c r="J29" s="4" t="s">
        <v>119</v>
      </c>
      <c r="K29" s="4" t="s">
        <v>120</v>
      </c>
      <c r="L29" s="4" t="s">
        <v>25</v>
      </c>
    </row>
    <row r="30" spans="1:12" ht="22.05" customHeight="1" x14ac:dyDescent="0.3">
      <c r="A30" s="2" t="s">
        <v>121</v>
      </c>
      <c r="B30" s="3" t="s">
        <v>32</v>
      </c>
      <c r="C30" s="3" t="s">
        <v>15</v>
      </c>
      <c r="D30" s="3">
        <v>6.87</v>
      </c>
      <c r="E30" s="3" t="s">
        <v>122</v>
      </c>
      <c r="F30" s="3">
        <v>6.5</v>
      </c>
      <c r="G30" s="3">
        <v>138</v>
      </c>
      <c r="H30" s="3">
        <v>37</v>
      </c>
      <c r="I30" s="3">
        <v>2.88</v>
      </c>
      <c r="J30" s="3" t="s">
        <v>123</v>
      </c>
      <c r="K30" s="3" t="s">
        <v>124</v>
      </c>
      <c r="L30" s="3" t="s">
        <v>25</v>
      </c>
    </row>
    <row r="31" spans="1:12" x14ac:dyDescent="0.3">
      <c r="A31" s="27" t="s">
        <v>125</v>
      </c>
      <c r="B31" s="28" t="s">
        <v>32</v>
      </c>
      <c r="C31" s="28" t="s">
        <v>15</v>
      </c>
      <c r="D31" s="28">
        <v>6.43</v>
      </c>
      <c r="E31" s="28" t="s">
        <v>126</v>
      </c>
      <c r="F31" s="28">
        <v>7.5</v>
      </c>
      <c r="G31" s="28">
        <v>136</v>
      </c>
      <c r="H31" s="28">
        <v>37</v>
      </c>
      <c r="I31" s="28">
        <v>3.44</v>
      </c>
      <c r="J31" s="28" t="s">
        <v>127</v>
      </c>
      <c r="K31" s="28" t="s">
        <v>128</v>
      </c>
      <c r="L31" s="28" t="s">
        <v>25</v>
      </c>
    </row>
    <row r="32" spans="1:12" x14ac:dyDescent="0.3">
      <c r="A32" s="27" t="s">
        <v>129</v>
      </c>
      <c r="B32" s="28" t="s">
        <v>32</v>
      </c>
      <c r="C32" s="28" t="s">
        <v>15</v>
      </c>
      <c r="D32" s="28">
        <v>7.47</v>
      </c>
      <c r="E32" s="28" t="s">
        <v>130</v>
      </c>
      <c r="F32" s="28">
        <v>7.5</v>
      </c>
      <c r="G32" s="28">
        <v>134</v>
      </c>
      <c r="H32" s="28">
        <v>39</v>
      </c>
      <c r="I32" s="28">
        <v>3.21</v>
      </c>
      <c r="J32" s="28" t="s">
        <v>131</v>
      </c>
      <c r="K32" s="28" t="s">
        <v>132</v>
      </c>
      <c r="L32" s="28" t="s">
        <v>25</v>
      </c>
    </row>
    <row r="33" spans="1:12" x14ac:dyDescent="0.3">
      <c r="A33" s="27" t="s">
        <v>133</v>
      </c>
      <c r="B33" s="28" t="s">
        <v>32</v>
      </c>
      <c r="C33" s="28" t="s">
        <v>15</v>
      </c>
      <c r="D33" s="28">
        <v>7.73</v>
      </c>
      <c r="E33" s="28" t="s">
        <v>134</v>
      </c>
      <c r="F33" s="28">
        <v>7</v>
      </c>
      <c r="G33" s="28">
        <v>135</v>
      </c>
      <c r="H33" s="28">
        <v>35</v>
      </c>
      <c r="I33" s="28">
        <v>3.33</v>
      </c>
      <c r="J33" s="28" t="s">
        <v>135</v>
      </c>
      <c r="K33" s="28" t="s">
        <v>136</v>
      </c>
      <c r="L33" s="28" t="s">
        <v>25</v>
      </c>
    </row>
    <row r="34" spans="1:12" x14ac:dyDescent="0.3">
      <c r="A34" s="27" t="s">
        <v>137</v>
      </c>
      <c r="B34" s="28" t="s">
        <v>32</v>
      </c>
      <c r="C34" s="28" t="s">
        <v>15</v>
      </c>
      <c r="D34" s="28">
        <v>9.69</v>
      </c>
      <c r="E34" s="28" t="s">
        <v>138</v>
      </c>
      <c r="F34" s="28">
        <v>7.4</v>
      </c>
      <c r="G34" s="28">
        <v>136</v>
      </c>
      <c r="H34" s="28">
        <v>37</v>
      </c>
      <c r="I34" s="28">
        <v>3.34</v>
      </c>
      <c r="J34" s="28" t="s">
        <v>139</v>
      </c>
      <c r="K34" s="28" t="s">
        <v>140</v>
      </c>
      <c r="L34" s="28" t="s">
        <v>25</v>
      </c>
    </row>
    <row r="35" spans="1:12" x14ac:dyDescent="0.3">
      <c r="A35" s="27" t="s">
        <v>141</v>
      </c>
      <c r="B35" s="28" t="s">
        <v>21</v>
      </c>
      <c r="C35" s="28" t="s">
        <v>15</v>
      </c>
      <c r="D35" s="28">
        <v>9.4700000000000006</v>
      </c>
      <c r="E35" s="28" t="s">
        <v>142</v>
      </c>
      <c r="F35" s="28">
        <v>7.6</v>
      </c>
      <c r="G35" s="28">
        <v>135</v>
      </c>
      <c r="H35" s="28">
        <v>39</v>
      </c>
      <c r="I35" s="28">
        <v>3.21</v>
      </c>
      <c r="J35" s="28" t="s">
        <v>143</v>
      </c>
      <c r="K35" s="28" t="s">
        <v>144</v>
      </c>
      <c r="L35" s="28" t="s">
        <v>25</v>
      </c>
    </row>
    <row r="36" spans="1:12" x14ac:dyDescent="0.3">
      <c r="A36" s="27" t="s">
        <v>145</v>
      </c>
      <c r="B36" s="28" t="s">
        <v>85</v>
      </c>
      <c r="C36" s="28" t="s">
        <v>15</v>
      </c>
      <c r="D36" s="28">
        <v>11.17</v>
      </c>
      <c r="E36" s="28" t="s">
        <v>146</v>
      </c>
      <c r="F36" s="28">
        <v>7.6</v>
      </c>
      <c r="G36" s="28">
        <v>128</v>
      </c>
      <c r="H36" s="28">
        <v>40</v>
      </c>
      <c r="I36" s="28">
        <v>3.18</v>
      </c>
      <c r="J36" s="28" t="s">
        <v>147</v>
      </c>
      <c r="K36" s="28" t="s">
        <v>25</v>
      </c>
      <c r="L36" s="28" t="s">
        <v>25</v>
      </c>
    </row>
  </sheetData>
  <autoFilter ref="A2:L31"/>
  <mergeCells count="1">
    <mergeCell ref="A1:L1"/>
  </mergeCells>
  <conditionalFormatting sqref="A3:L999">
    <cfRule type="expression" dxfId="3" priority="1">
      <formula>$B3="אירובי"</formula>
    </cfRule>
    <cfRule type="expression" dxfId="2" priority="2">
      <formula>$B3="אירובי ארוך"</formula>
    </cfRule>
    <cfRule type="expression" dxfId="1" priority="3">
      <formula>$B3="טמפו"</formula>
    </cfRule>
    <cfRule type="expression" dxfId="0" priority="4">
      <formula>$B3="ספרינטים"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rightToLeft="1" topLeftCell="A37" workbookViewId="0">
      <selection activeCell="F37" sqref="F37"/>
    </sheetView>
  </sheetViews>
  <sheetFormatPr defaultRowHeight="14.4" x14ac:dyDescent="0.3"/>
  <cols>
    <col min="1" max="2" width="16" style="39" customWidth="1"/>
    <col min="3" max="7" width="12" style="39" customWidth="1"/>
  </cols>
  <sheetData>
    <row r="1" spans="1:7" ht="34.049999999999997" customHeight="1" x14ac:dyDescent="0.3">
      <c r="A1" s="42" t="s">
        <v>148</v>
      </c>
      <c r="B1" s="41"/>
      <c r="C1" s="41"/>
      <c r="D1" s="41"/>
      <c r="E1" s="41"/>
      <c r="F1" s="41"/>
      <c r="G1" s="41"/>
    </row>
    <row r="2" spans="1:7" ht="31.95" customHeight="1" x14ac:dyDescent="0.3">
      <c r="A2" s="7" t="s">
        <v>149</v>
      </c>
      <c r="B2" s="7" t="s">
        <v>2</v>
      </c>
      <c r="C2" s="7" t="s">
        <v>150</v>
      </c>
      <c r="D2" s="7" t="s">
        <v>151</v>
      </c>
      <c r="E2" s="7" t="s">
        <v>7</v>
      </c>
      <c r="F2" s="7" t="s">
        <v>152</v>
      </c>
      <c r="G2" s="7" t="s">
        <v>153</v>
      </c>
    </row>
    <row r="3" spans="1:7" ht="19.95" customHeight="1" x14ac:dyDescent="0.3">
      <c r="A3" s="8" t="s">
        <v>154</v>
      </c>
      <c r="B3" s="9" t="s">
        <v>32</v>
      </c>
      <c r="C3" s="29">
        <f>IFERROR(COUNTIFS('נתוני אימונים'!A:A,"*.12.2025*",'נתוני אימונים'!B:B,"אירובי"),0)</f>
        <v>5</v>
      </c>
      <c r="D3" s="10">
        <f>IFERROR(AVERAGEIFS('נתוני אימונים'!F:F,'נתוני אימונים'!A:A,"*.12.2025*",'נתוני אימונים'!B:B,"אירובי"),"")</f>
        <v>7.3</v>
      </c>
      <c r="E3" s="29">
        <f>IFERROR(AVERAGEIFS('נתוני אימונים'!G:G,'נתוני אימונים'!A:A,"*.12.2025*",'נתוני אימונים'!B:B,"אירובי"),"")</f>
        <v>133.19999999999999</v>
      </c>
      <c r="F3" s="10">
        <f>IFERROR(AVERAGEIFS('נתוני אימונים'!I:I,'נתוני אימונים'!A:A,"*.12.2025*",'נתוני אימונים'!B:B,"אירובי"),"")</f>
        <v>3.1239999999999997</v>
      </c>
      <c r="G3" s="10">
        <f>IFERROR(SUMIFS('נתוני אימונים'!D:D,'נתוני אימונים'!A:A,"*.12.2025*",'נתוני אימונים'!B:B,"אירובי"),"")</f>
        <v>47.989999999999995</v>
      </c>
    </row>
    <row r="4" spans="1:7" ht="19.95" customHeight="1" x14ac:dyDescent="0.3">
      <c r="A4" s="8" t="s">
        <v>154</v>
      </c>
      <c r="B4" s="11" t="s">
        <v>85</v>
      </c>
      <c r="C4" s="30">
        <f>IFERROR(COUNTIFS('נתוני אימונים'!A:A,"*.12.2025*",'נתוני אימונים'!B:B,"אירובי ארוך"),0)</f>
        <v>0</v>
      </c>
      <c r="D4" s="12" t="str">
        <f>IFERROR(AVERAGEIFS('נתוני אימונים'!F:F,'נתוני אימונים'!A:A,"*.12.2025*",'נתוני אימונים'!B:B,"אירובי ארוך"),"")</f>
        <v/>
      </c>
      <c r="E4" s="30" t="str">
        <f>IFERROR(AVERAGEIFS('נתוני אימונים'!G:G,'נתוני אימונים'!A:A,"*.12.2025*",'נתוני אימונים'!B:B,"אירובי ארוך"),"")</f>
        <v/>
      </c>
      <c r="F4" s="12" t="str">
        <f>IFERROR(AVERAGEIFS('נתוני אימונים'!I:I,'נתוני אימונים'!A:A,"*.12.2025*",'נתוני אימונים'!B:B,"אירובי ארוך"),"")</f>
        <v/>
      </c>
      <c r="G4" s="12">
        <f>IFERROR(SUMIFS('נתוני אימונים'!D:D,'נתוני אימונים'!A:A,"*.12.2025*",'נתוני אימונים'!B:B,"אירובי ארוך"),"")</f>
        <v>0</v>
      </c>
    </row>
    <row r="5" spans="1:7" ht="19.95" customHeight="1" x14ac:dyDescent="0.3">
      <c r="A5" s="8" t="s">
        <v>154</v>
      </c>
      <c r="B5" s="13" t="s">
        <v>21</v>
      </c>
      <c r="C5" s="31">
        <f>IFERROR(COUNTIFS('נתוני אימונים'!A:A,"*.12.2025*",'נתוני אימונים'!B:B,"טמפו"),0)</f>
        <v>4</v>
      </c>
      <c r="D5" s="14">
        <f>IFERROR(AVERAGEIFS('נתוני אימונים'!F:F,'נתוני אימונים'!A:A,"*.12.2025*",'נתוני אימונים'!B:B,"טמפו"),"")</f>
        <v>7.5749999999999993</v>
      </c>
      <c r="E5" s="31">
        <f>IFERROR(AVERAGEIFS('נתוני אימונים'!G:G,'נתוני אימונים'!A:A,"*.12.2025*",'נתוני אימונים'!B:B,"טמפו"),"")</f>
        <v>141.25</v>
      </c>
      <c r="F5" s="14">
        <f>IFERROR(AVERAGEIFS('נתוני אימונים'!I:I,'נתוני אימונים'!A:A,"*.12.2025*",'נתוני אימונים'!B:B,"טמפו"),"")</f>
        <v>3.07</v>
      </c>
      <c r="G5" s="14">
        <f>IFERROR(SUMIFS('נתוני אימונים'!D:D,'נתוני אימונים'!A:A,"*.12.2025*",'נתוני אימונים'!B:B,"טמפו"),"")</f>
        <v>38.909999999999997</v>
      </c>
    </row>
    <row r="6" spans="1:7" ht="19.95" customHeight="1" x14ac:dyDescent="0.3">
      <c r="A6" s="8" t="s">
        <v>154</v>
      </c>
      <c r="B6" s="15" t="s">
        <v>14</v>
      </c>
      <c r="C6" s="32">
        <f>IFERROR(COUNTIFS('נתוני אימונים'!A:A,"*.12.2025*",'נתוני אימונים'!B:B,"ספרינטים"),0)</f>
        <v>3</v>
      </c>
      <c r="D6" s="16">
        <f>IFERROR(AVERAGEIFS('נתוני אימונים'!F:F,'נתוני אימונים'!A:A,"*.12.2025*",'נתוני אימונים'!B:B,"ספרינטים"),"")</f>
        <v>5.8666666666666663</v>
      </c>
      <c r="E6" s="32">
        <f>IFERROR(AVERAGEIFS('נתוני אימונים'!G:G,'נתוני אימונים'!A:A,"*.12.2025*",'נתוני אימונים'!B:B,"ספרינטים"),"")</f>
        <v>120</v>
      </c>
      <c r="F6" s="16">
        <f>IFERROR(AVERAGEIFS('נתוני אימונים'!I:I,'נתוני אימונים'!A:A,"*.12.2025*",'נתוני אימונים'!B:B,"ספרינטים"),"")</f>
        <v>2.85</v>
      </c>
      <c r="G6" s="16">
        <f>IFERROR(SUMIFS('נתוני אימונים'!D:D,'נתוני אימונים'!A:A,"*.12.2025*",'נתוני אימונים'!B:B,"ספרינטים"),"")</f>
        <v>23.590000000000003</v>
      </c>
    </row>
    <row r="7" spans="1:7" ht="22.05" customHeight="1" x14ac:dyDescent="0.3">
      <c r="A7" s="17" t="s">
        <v>154</v>
      </c>
      <c r="B7" s="17" t="s">
        <v>155</v>
      </c>
      <c r="C7" s="33">
        <f>IFERROR(COUNTIFS('נתוני אימונים'!A:A,"*.12.2025*"),0)</f>
        <v>12</v>
      </c>
      <c r="D7" s="18">
        <f>IFERROR(AVERAGEIFS('נתוני אימונים'!F:F,'נתוני אימונים'!A:A,"*.12.2025*"),"")</f>
        <v>7.0333333333333323</v>
      </c>
      <c r="E7" s="33">
        <f>IFERROR(AVERAGEIFS('נתוני אימונים'!G:G,'נתוני אימונים'!A:A,"*.12.2025*"),"")</f>
        <v>132.58333333333334</v>
      </c>
      <c r="F7" s="18">
        <f>IFERROR(AVERAGEIFS('נתוני אימונים'!I:I,'נתוני אימונים'!A:A,"*.12.2025*"),"")</f>
        <v>3.0375000000000001</v>
      </c>
      <c r="G7" s="18">
        <f>IFERROR(SUMIFS('נתוני אימונים'!D:D,'נתוני אימונים'!A:A,"*.12.2025*"),"")</f>
        <v>110.49000000000001</v>
      </c>
    </row>
    <row r="10" spans="1:7" ht="19.95" customHeight="1" x14ac:dyDescent="0.3">
      <c r="A10" s="8" t="s">
        <v>156</v>
      </c>
      <c r="B10" s="9" t="s">
        <v>32</v>
      </c>
      <c r="C10" s="29">
        <f>IFERROR(COUNTIFS('נתוני אימונים'!A:A,"*.01.2026*",'נתוני אימונים'!B:B,"אירובי"),0)</f>
        <v>2</v>
      </c>
      <c r="D10" s="10">
        <f>IFERROR(AVERAGEIFS('נתוני אימונים'!F:F,'נתוני אימונים'!A:A,"*.01.2026*",'נתוני אימונים'!B:B,"אירובי"),"")</f>
        <v>7.25</v>
      </c>
      <c r="E10" s="29">
        <f>IFERROR(AVERAGEIFS('נתוני אימונים'!G:G,'נתוני אימונים'!A:A,"*.01.2026*",'נתוני אימונים'!B:B,"אירובי"),"")</f>
        <v>134.5</v>
      </c>
      <c r="F10" s="10">
        <f>IFERROR(AVERAGEIFS('נתוני אימונים'!I:I,'נתוני אימונים'!A:A,"*.01.2026*",'נתוני אימונים'!B:B,"אירובי"),"")</f>
        <v>3.15</v>
      </c>
      <c r="G10" s="10">
        <f>IFERROR(SUMIFS('נתוני אימונים'!D:D,'נתוני אימונים'!A:A,"*.01.2026*",'נתוני אימונים'!B:B,"אירובי"),"")</f>
        <v>19.03</v>
      </c>
    </row>
    <row r="11" spans="1:7" ht="19.95" customHeight="1" x14ac:dyDescent="0.3">
      <c r="A11" s="8" t="s">
        <v>156</v>
      </c>
      <c r="B11" s="11" t="s">
        <v>85</v>
      </c>
      <c r="C11" s="30">
        <f>IFERROR(COUNTIFS('נתוני אימונים'!A:A,"*.01.2026*",'נתוני אימונים'!B:B,"אירובי ארוך"),0)</f>
        <v>1</v>
      </c>
      <c r="D11" s="12">
        <f>IFERROR(AVERAGEIFS('נתוני אימונים'!F:F,'נתוני אימונים'!A:A,"*.01.2026*",'נתוני אימונים'!B:B,"אירובי ארוך"),"")</f>
        <v>7.8</v>
      </c>
      <c r="E11" s="30">
        <f>IFERROR(AVERAGEIFS('נתוני אימונים'!G:G,'נתוני אימונים'!A:A,"*.01.2026*",'נתוני אימונים'!B:B,"אירובי ארוך"),"")</f>
        <v>138</v>
      </c>
      <c r="F11" s="12">
        <f>IFERROR(AVERAGEIFS('נתוני אימונים'!I:I,'נתוני אימונים'!A:A,"*.01.2026*",'נתוני אימונים'!B:B,"אירובי ארוך"),"")</f>
        <v>3.37</v>
      </c>
      <c r="G11" s="12">
        <f>IFERROR(SUMIFS('נתוני אימונים'!D:D,'נתוני אימונים'!A:A,"*.01.2026*",'נתוני אימונים'!B:B,"אירובי ארוך"),"")</f>
        <v>14.65</v>
      </c>
    </row>
    <row r="12" spans="1:7" ht="19.95" customHeight="1" x14ac:dyDescent="0.3">
      <c r="A12" s="8" t="s">
        <v>156</v>
      </c>
      <c r="B12" s="13" t="s">
        <v>21</v>
      </c>
      <c r="C12" s="31">
        <f>IFERROR(COUNTIFS('נתוני אימונים'!A:A,"*.01.2026*",'נתוני אימונים'!B:B,"טמפו"),0)</f>
        <v>3</v>
      </c>
      <c r="D12" s="14">
        <f>IFERROR(AVERAGEIFS('נתוני אימונים'!F:F,'נתוני אימונים'!A:A,"*.01.2026*",'נתוני אימונים'!B:B,"טמפו"),"")</f>
        <v>6.2</v>
      </c>
      <c r="E12" s="31">
        <f>IFERROR(AVERAGEIFS('נתוני אימונים'!G:G,'נתוני אימונים'!A:A,"*.01.2026*",'נתוני אימונים'!B:B,"טמפו"),"")</f>
        <v>138</v>
      </c>
      <c r="F12" s="14">
        <f>IFERROR(AVERAGEIFS('נתוני אימונים'!I:I,'נתוני אימונים'!A:A,"*.01.2026*",'נתוני אימונים'!B:B,"טמפו"),"")</f>
        <v>2.7166666666666668</v>
      </c>
      <c r="G12" s="14">
        <f>IFERROR(SUMIFS('נתוני אימונים'!D:D,'נתוני אימונים'!A:A,"*.01.2026*",'נתוני אימונים'!B:B,"טמפו"),"")</f>
        <v>24.88</v>
      </c>
    </row>
    <row r="13" spans="1:7" ht="19.95" customHeight="1" x14ac:dyDescent="0.3">
      <c r="A13" s="8" t="s">
        <v>156</v>
      </c>
      <c r="B13" s="15" t="s">
        <v>14</v>
      </c>
      <c r="C13" s="32">
        <f>IFERROR(COUNTIFS('נתוני אימונים'!A:A,"*.01.2026*",'נתוני אימונים'!B:B,"ספרינטים"),0)</f>
        <v>0</v>
      </c>
      <c r="D13" s="16" t="str">
        <f>IFERROR(AVERAGEIFS('נתוני אימונים'!F:F,'נתוני אימונים'!A:A,"*.01.2026*",'נתוני אימונים'!B:B,"ספרינטים"),"")</f>
        <v/>
      </c>
      <c r="E13" s="32" t="str">
        <f>IFERROR(AVERAGEIFS('נתוני אימונים'!G:G,'נתוני אימונים'!A:A,"*.01.2026*",'נתוני אימונים'!B:B,"ספרינטים"),"")</f>
        <v/>
      </c>
      <c r="F13" s="16" t="str">
        <f>IFERROR(AVERAGEIFS('נתוני אימונים'!I:I,'נתוני אימונים'!A:A,"*.01.2026*",'נתוני אימונים'!B:B,"ספרינטים"),"")</f>
        <v/>
      </c>
      <c r="G13" s="16">
        <f>IFERROR(SUMIFS('נתוני אימונים'!D:D,'נתוני אימונים'!A:A,"*.01.2026*",'נתוני אימונים'!B:B,"ספרינטים"),"")</f>
        <v>0</v>
      </c>
    </row>
    <row r="14" spans="1:7" ht="22.05" customHeight="1" x14ac:dyDescent="0.3">
      <c r="A14" s="17" t="s">
        <v>156</v>
      </c>
      <c r="B14" s="17" t="s">
        <v>155</v>
      </c>
      <c r="C14" s="33">
        <f>IFERROR(COUNTIFS('נתוני אימונים'!A:A,"*.01.2026*"),0)</f>
        <v>6</v>
      </c>
      <c r="D14" s="18">
        <f>IFERROR(AVERAGEIFS('נתוני אימונים'!F:F,'נתוני אימונים'!A:A,"*.01.2026*"),"")</f>
        <v>6.8166666666666664</v>
      </c>
      <c r="E14" s="33">
        <f>IFERROR(AVERAGEIFS('נתוני אימונים'!G:G,'נתוני אימונים'!A:A,"*.01.2026*"),"")</f>
        <v>136.83333333333334</v>
      </c>
      <c r="F14" s="18">
        <f>IFERROR(AVERAGEIFS('נתוני אימונים'!I:I,'נתוני אימונים'!A:A,"*.01.2026*"),"")</f>
        <v>2.97</v>
      </c>
      <c r="G14" s="18">
        <f>IFERROR(SUMIFS('נתוני אימונים'!D:D,'נתוני אימונים'!A:A,"*.01.2026*"),"")</f>
        <v>58.56</v>
      </c>
    </row>
    <row r="17" spans="1:7" ht="19.95" customHeight="1" x14ac:dyDescent="0.3">
      <c r="A17" s="8" t="s">
        <v>157</v>
      </c>
      <c r="B17" s="9" t="s">
        <v>32</v>
      </c>
      <c r="C17" s="29">
        <f>IFERROR(COUNTIFS('נתוני אימונים'!A:A,"*.02.2026*",'נתוני אימונים'!B:B,"אירובי"),0)</f>
        <v>4</v>
      </c>
      <c r="D17" s="10">
        <f>IFERROR(AVERAGEIFS('נתוני אימונים'!F:F,'נתוני אימונים'!A:A,"*.02.2026*",'נתוני אימונים'!B:B,"אירובי"),"")</f>
        <v>7.2750000000000004</v>
      </c>
      <c r="E17" s="29">
        <f>IFERROR(AVERAGEIFS('נתוני אימונים'!G:G,'נתוני אימונים'!A:A,"*.02.2026*",'נתוני אימונים'!B:B,"אירובי"),"")</f>
        <v>128.75</v>
      </c>
      <c r="F17" s="10">
        <f>IFERROR(AVERAGEIFS('נתוני אימונים'!I:I,'נתוני אימונים'!A:A,"*.02.2026*",'נתוני אימונים'!B:B,"אירובי"),"")</f>
        <v>3.2249999999999996</v>
      </c>
      <c r="G17" s="10">
        <f>IFERROR(SUMIFS('נתוני אימונים'!D:D,'נתוני אימונים'!A:A,"*.02.2026*",'נתוני אימונים'!B:B,"אירובי"),"")</f>
        <v>27.77</v>
      </c>
    </row>
    <row r="18" spans="1:7" ht="19.95" customHeight="1" x14ac:dyDescent="0.3">
      <c r="A18" s="8" t="s">
        <v>157</v>
      </c>
      <c r="B18" s="11" t="s">
        <v>85</v>
      </c>
      <c r="C18" s="30">
        <f>IFERROR(COUNTIFS('נתוני אימונים'!A:A,"*.02.2026*",'נתוני אימונים'!B:B,"אירובי ארוך"),0)</f>
        <v>1</v>
      </c>
      <c r="D18" s="12">
        <f>IFERROR(AVERAGEIFS('נתוני אימונים'!F:F,'נתוני אימונים'!A:A,"*.02.2026*",'נתוני אימונים'!B:B,"אירובי ארוך"),"")</f>
        <v>8.1</v>
      </c>
      <c r="E18" s="30">
        <f>IFERROR(AVERAGEIFS('נתוני אימונים'!G:G,'נתוני אימונים'!A:A,"*.02.2026*",'נתוני אימונים'!B:B,"אירובי ארוך"),"")</f>
        <v>133</v>
      </c>
      <c r="F18" s="12">
        <f>IFERROR(AVERAGEIFS('נתוני אימונים'!I:I,'נתוני אימונים'!A:A,"*.02.2026*",'נתוני אימונים'!B:B,"אירובי ארוך"),"")</f>
        <v>3.29</v>
      </c>
      <c r="G18" s="12">
        <f>IFERROR(SUMIFS('נתוני אימונים'!D:D,'נתוני אימונים'!A:A,"*.02.2026*",'נתוני אימונים'!B:B,"אירובי ארוך"),"")</f>
        <v>18.97</v>
      </c>
    </row>
    <row r="19" spans="1:7" ht="19.95" customHeight="1" x14ac:dyDescent="0.3">
      <c r="A19" s="8" t="s">
        <v>157</v>
      </c>
      <c r="B19" s="13" t="s">
        <v>21</v>
      </c>
      <c r="C19" s="31">
        <f>IFERROR(COUNTIFS('נתוני אימונים'!A:A,"*.02.2026*",'נתוני אימונים'!B:B,"טמפו"),0)</f>
        <v>3</v>
      </c>
      <c r="D19" s="14">
        <f>IFERROR(AVERAGEIFS('נתוני אימונים'!F:F,'נתוני אימונים'!A:A,"*.02.2026*",'נתוני אימונים'!B:B,"טמפו"),"")</f>
        <v>7.3</v>
      </c>
      <c r="E19" s="31">
        <f>IFERROR(AVERAGEIFS('נתוני אימונים'!G:G,'נתוני אימונים'!A:A,"*.02.2026*",'נתוני אימונים'!B:B,"טמפו"),"")</f>
        <v>144</v>
      </c>
      <c r="F19" s="14">
        <f>IFERROR(AVERAGEIFS('נתוני אימונים'!I:I,'נתוני אימונים'!A:A,"*.02.2026*",'נתוני אימונים'!B:B,"טמפו"),"")</f>
        <v>3.1</v>
      </c>
      <c r="G19" s="14">
        <f>IFERROR(SUMIFS('נתוני אימונים'!D:D,'נתוני אימונים'!A:A,"*.02.2026*",'נתוני אימונים'!B:B,"טמפו"),"")</f>
        <v>25.73</v>
      </c>
    </row>
    <row r="20" spans="1:7" ht="19.95" customHeight="1" x14ac:dyDescent="0.3">
      <c r="A20" s="8" t="s">
        <v>157</v>
      </c>
      <c r="B20" s="15" t="s">
        <v>14</v>
      </c>
      <c r="C20" s="32">
        <f>IFERROR(COUNTIFS('נתוני אימונים'!A:A,"*.02.2026*",'נתוני אימונים'!B:B,"ספרינטים"),0)</f>
        <v>2</v>
      </c>
      <c r="D20" s="16">
        <f>IFERROR(AVERAGEIFS('נתוני אימונים'!F:F,'נתוני אימונים'!A:A,"*.02.2026*",'נתוני אימונים'!B:B,"ספרינטים"),"")</f>
        <v>6.9499999999999993</v>
      </c>
      <c r="E20" s="32">
        <f>IFERROR(AVERAGEIFS('נתוני אימונים'!G:G,'נתוני אימונים'!A:A,"*.02.2026*",'נתוני אימונים'!B:B,"ספרינטים"),"")</f>
        <v>137.5</v>
      </c>
      <c r="F20" s="16">
        <f>IFERROR(AVERAGEIFS('נתוני אימונים'!I:I,'נתוני אימונים'!A:A,"*.02.2026*",'נתוני אימונים'!B:B,"ספרינטים"),"")</f>
        <v>3.0049999999999999</v>
      </c>
      <c r="G20" s="16">
        <f>IFERROR(SUMIFS('נתוני אימונים'!D:D,'נתוני אימונים'!A:A,"*.02.2026*",'נתוני אימונים'!B:B,"ספרינטים"),"")</f>
        <v>18.12</v>
      </c>
    </row>
    <row r="21" spans="1:7" ht="22.05" customHeight="1" x14ac:dyDescent="0.3">
      <c r="A21" s="17" t="s">
        <v>157</v>
      </c>
      <c r="B21" s="17" t="s">
        <v>155</v>
      </c>
      <c r="C21" s="33">
        <f>IFERROR(COUNTIFS('נתוני אימונים'!A:A,"*.02.2026*"),0)</f>
        <v>10</v>
      </c>
      <c r="D21" s="18">
        <f>IFERROR(AVERAGEIFS('נתוני אימונים'!F:F,'נתוני אימונים'!A:A,"*.02.2026*"),"")</f>
        <v>7.3</v>
      </c>
      <c r="E21" s="33">
        <f>IFERROR(AVERAGEIFS('נתוני אימונים'!G:G,'נתוני אימונים'!A:A,"*.02.2026*"),"")</f>
        <v>135.5</v>
      </c>
      <c r="F21" s="18">
        <f>IFERROR(AVERAGEIFS('נתוני אימונים'!I:I,'נתוני אימונים'!A:A,"*.02.2026*"),"")</f>
        <v>3.15</v>
      </c>
      <c r="G21" s="18">
        <f>IFERROR(SUMIFS('נתוני אימונים'!D:D,'נתוני אימונים'!A:A,"*.02.2026*"),"")</f>
        <v>90.59</v>
      </c>
    </row>
    <row r="24" spans="1:7" ht="19.95" customHeight="1" x14ac:dyDescent="0.3">
      <c r="A24" s="8" t="s">
        <v>158</v>
      </c>
      <c r="B24" s="9" t="s">
        <v>32</v>
      </c>
      <c r="C24" s="29">
        <f>IFERROR(COUNTIFS('נתוני אימונים'!A:A,"*.03.2026*",'נתוני אימונים'!B:B,"אירובי"),0)</f>
        <v>0</v>
      </c>
      <c r="D24" s="10" t="str">
        <f>IFERROR(AVERAGEIFS('נתוני אימונים'!F:F,'נתוני אימונים'!A:A,"*.03.2026*",'נתוני אימונים'!B:B,"אירובי"),"")</f>
        <v/>
      </c>
      <c r="E24" s="29" t="str">
        <f>IFERROR(AVERAGEIFS('נתוני אימונים'!G:G,'נתוני אימונים'!A:A,"*.03.2026*",'נתוני אימונים'!B:B,"אירובי"),"")</f>
        <v/>
      </c>
      <c r="F24" s="10" t="str">
        <f>IFERROR(AVERAGEIFS('נתוני אימונים'!I:I,'נתוני אימונים'!A:A,"*.03.2026*",'נתוני אימונים'!B:B,"אירובי"),"")</f>
        <v/>
      </c>
      <c r="G24" s="10">
        <f>IFERROR(SUMIFS('נתוני אימונים'!D:D,'נתוני אימונים'!A:A,"*.03.2026*",'נתוני אימונים'!B:B,"אירובי"),"")</f>
        <v>0</v>
      </c>
    </row>
    <row r="25" spans="1:7" ht="19.95" customHeight="1" x14ac:dyDescent="0.3">
      <c r="A25" s="8" t="s">
        <v>158</v>
      </c>
      <c r="B25" s="11" t="s">
        <v>85</v>
      </c>
      <c r="C25" s="30">
        <f>IFERROR(COUNTIFS('נתוני אימונים'!A:A,"*.03.2026*",'נתוני אימונים'!B:B,"אירובי ארוך"),0)</f>
        <v>0</v>
      </c>
      <c r="D25" s="12" t="str">
        <f>IFERROR(AVERAGEIFS('נתוני אימונים'!F:F,'נתוני אימונים'!A:A,"*.03.2026*",'נתוני אימונים'!B:B,"אירובי ארוך"),"")</f>
        <v/>
      </c>
      <c r="E25" s="30" t="str">
        <f>IFERROR(AVERAGEIFS('נתוני אימונים'!G:G,'נתוני אימונים'!A:A,"*.03.2026*",'נתוני אימונים'!B:B,"אירובי ארוך"),"")</f>
        <v/>
      </c>
      <c r="F25" s="12" t="str">
        <f>IFERROR(AVERAGEIFS('נתוני אימונים'!I:I,'נתוני אימונים'!A:A,"*.03.2026*",'נתוני אימונים'!B:B,"אירובי ארוך"),"")</f>
        <v/>
      </c>
      <c r="G25" s="12">
        <f>IFERROR(SUMIFS('נתוני אימונים'!D:D,'נתוני אימונים'!A:A,"*.03.2026*",'נתוני אימונים'!B:B,"אירובי ארוך"),"")</f>
        <v>0</v>
      </c>
    </row>
    <row r="26" spans="1:7" ht="19.95" customHeight="1" x14ac:dyDescent="0.3">
      <c r="A26" s="8" t="s">
        <v>158</v>
      </c>
      <c r="B26" s="13" t="s">
        <v>21</v>
      </c>
      <c r="C26" s="31">
        <f>IFERROR(COUNTIFS('נתוני אימונים'!A:A,"*.03.2026*",'נתוני אימונים'!B:B,"טמפו"),0)</f>
        <v>0</v>
      </c>
      <c r="D26" s="14" t="str">
        <f>IFERROR(AVERAGEIFS('נתוני אימונים'!F:F,'נתוני אימונים'!A:A,"*.03.2026*",'נתוני אימונים'!B:B,"טמפו"),"")</f>
        <v/>
      </c>
      <c r="E26" s="31" t="str">
        <f>IFERROR(AVERAGEIFS('נתוני אימונים'!G:G,'נתוני אימונים'!A:A,"*.03.2026*",'נתוני אימונים'!B:B,"טמפו"),"")</f>
        <v/>
      </c>
      <c r="F26" s="14" t="str">
        <f>IFERROR(AVERAGEIFS('נתוני אימונים'!I:I,'נתוני אימונים'!A:A,"*.03.2026*",'נתוני אימונים'!B:B,"טמפו"),"")</f>
        <v/>
      </c>
      <c r="G26" s="14">
        <f>IFERROR(SUMIFS('נתוני אימונים'!D:D,'נתוני אימונים'!A:A,"*.03.2026*",'נתוני אימונים'!B:B,"טמפו"),"")</f>
        <v>0</v>
      </c>
    </row>
    <row r="27" spans="1:7" ht="19.95" customHeight="1" x14ac:dyDescent="0.3">
      <c r="A27" s="8" t="s">
        <v>158</v>
      </c>
      <c r="B27" s="15" t="s">
        <v>14</v>
      </c>
      <c r="C27" s="32">
        <f>IFERROR(COUNTIFS('נתוני אימונים'!A:A,"*.03.2026*",'נתוני אימונים'!B:B,"ספרינטים"),0)</f>
        <v>0</v>
      </c>
      <c r="D27" s="16" t="str">
        <f>IFERROR(AVERAGEIFS('נתוני אימונים'!F:F,'נתוני אימונים'!A:A,"*.03.2026*",'נתוני אימונים'!B:B,"ספרינטים"),"")</f>
        <v/>
      </c>
      <c r="E27" s="32" t="str">
        <f>IFERROR(AVERAGEIFS('נתוני אימונים'!G:G,'נתוני אימונים'!A:A,"*.03.2026*",'נתוני אימונים'!B:B,"ספרינטים"),"")</f>
        <v/>
      </c>
      <c r="F27" s="16" t="str">
        <f>IFERROR(AVERAGEIFS('נתוני אימונים'!I:I,'נתוני אימונים'!A:A,"*.03.2026*",'נתוני אימונים'!B:B,"ספרינטים"),"")</f>
        <v/>
      </c>
      <c r="G27" s="16">
        <f>IFERROR(SUMIFS('נתוני אימונים'!D:D,'נתוני אימונים'!A:A,"*.03.2026*",'נתוני אימונים'!B:B,"ספרינטים"),"")</f>
        <v>0</v>
      </c>
    </row>
    <row r="28" spans="1:7" ht="22.05" customHeight="1" x14ac:dyDescent="0.3">
      <c r="A28" s="17" t="s">
        <v>158</v>
      </c>
      <c r="B28" s="17" t="s">
        <v>155</v>
      </c>
      <c r="C28" s="33">
        <f>IFERROR(COUNTIFS('נתוני אימונים'!A:A,"*.03.2026*"),0)</f>
        <v>0</v>
      </c>
      <c r="D28" s="18" t="str">
        <f>IFERROR(AVERAGEIFS('נתוני אימונים'!F:F,'נתוני אימונים'!A:A,"*.03.2026*"),"")</f>
        <v/>
      </c>
      <c r="E28" s="33" t="str">
        <f>IFERROR(AVERAGEIFS('נתוני אימונים'!G:G,'נתוני אימונים'!A:A,"*.03.2026*"),"")</f>
        <v/>
      </c>
      <c r="F28" s="18" t="str">
        <f>IFERROR(AVERAGEIFS('נתוני אימונים'!I:I,'נתוני אימונים'!A:A,"*.03.2026*"),"")</f>
        <v/>
      </c>
      <c r="G28" s="18">
        <f>IFERROR(SUMIFS('נתוני אימונים'!D:D,'נתוני אימונים'!A:A,"*.03.2026*"),"")</f>
        <v>0</v>
      </c>
    </row>
    <row r="31" spans="1:7" x14ac:dyDescent="0.3">
      <c r="A31" s="8" t="s">
        <v>159</v>
      </c>
      <c r="B31" s="9" t="s">
        <v>32</v>
      </c>
      <c r="C31" s="29">
        <f>IFERROR(COUNTIFS('נתוני אימונים'!A:A,"*.04.2026*",'נתוני אימונים'!B:B,"אירובי"),0)</f>
        <v>4</v>
      </c>
      <c r="D31" s="10">
        <f>IFERROR(AVERAGEIFS('נתוני אימונים'!F:F,'נתוני אימונים'!A:A,"*.04.2026*",'נתוני אימונים'!B:B,"אירובי"),"")</f>
        <v>7.35</v>
      </c>
      <c r="E31" s="29">
        <f>IFERROR(AVERAGEIFS('נתוני אימונים'!G:G,'נתוני אימונים'!A:A,"*.04.2026*",'נתוני אימונים'!B:B,"אירובי"),"")</f>
        <v>135.25</v>
      </c>
      <c r="F31" s="10">
        <f>IFERROR(AVERAGEIFS('נתוני אימונים'!I:I,'נתוני אימונים'!A:A,"*.04.2026*",'נתוני אימונים'!B:B,"אירובי"),"")</f>
        <v>3.33</v>
      </c>
      <c r="G31" s="10">
        <f>IFERROR(SUMIFS('נתוני אימונים'!D:D,'נתוני אימונים'!A:A,"*.04.2026*",'נתוני אימונים'!B:B,"אירובי"),"")</f>
        <v>31.32</v>
      </c>
    </row>
    <row r="32" spans="1:7" ht="28.05" customHeight="1" x14ac:dyDescent="0.3">
      <c r="A32" s="8" t="s">
        <v>159</v>
      </c>
      <c r="B32" s="36" t="s">
        <v>85</v>
      </c>
      <c r="C32" s="37">
        <f>IFERROR(COUNTIFS('נתוני אימונים'!A:A,"*.04.2026*",'נתוני אימונים'!B:B,"אירובי ארוך"),0)</f>
        <v>0</v>
      </c>
      <c r="D32" s="38" t="str">
        <f>IFERROR(AVERAGEIFS('נתוני אימונים'!F:F,'נתוני אימונים'!A:A,"*.04.2026*",'נתוני אימונים'!B:B,"אירובי ארוך"),"")</f>
        <v/>
      </c>
      <c r="E32" s="37" t="str">
        <f>IFERROR(AVERAGEIFS('נתוני אימונים'!G:G,'נתוני אימונים'!A:A,"*.04.2026*",'נתוני אימונים'!B:B,"אירובי ארוך"),"")</f>
        <v/>
      </c>
      <c r="F32" s="38" t="str">
        <f>IFERROR(AVERAGEIFS('נתוני אימונים'!I:I,'נתוני אימונים'!A:A,"*.04.2026*",'נתוני אימונים'!B:B,"אירובי ארוך"),"")</f>
        <v/>
      </c>
      <c r="G32" s="38">
        <f>IFERROR(SUMIFS('נתוני אימונים'!D:D,'נתוני אימונים'!A:A,"*.04.2026*",'נתוני אימונים'!B:B,"אירובי ארוך"),"")</f>
        <v>0</v>
      </c>
    </row>
    <row r="33" spans="1:7" ht="28.05" customHeight="1" x14ac:dyDescent="0.3">
      <c r="A33" s="8" t="s">
        <v>159</v>
      </c>
      <c r="B33" s="13" t="s">
        <v>21</v>
      </c>
      <c r="C33" s="31">
        <f>IFERROR(COUNTIFS('נתוני אימונים'!A:A,"*.04.2026*",'נתוני אימונים'!B:B,"טמפו"),0)</f>
        <v>0</v>
      </c>
      <c r="D33" s="14" t="str">
        <f>IFERROR(AVERAGEIFS('נתוני אימונים'!F:F,'נתוני אימונים'!A:A,"*.04.2026*",'נתוני אימונים'!B:B,"טמפו"),"")</f>
        <v/>
      </c>
      <c r="E33" s="31" t="str">
        <f>IFERROR(AVERAGEIFS('נתוני אימונים'!G:G,'נתוני אימונים'!A:A,"*.04.2026*",'נתוני אימונים'!B:B,"טמפו"),"")</f>
        <v/>
      </c>
      <c r="F33" s="14" t="str">
        <f>IFERROR(AVERAGEIFS('נתוני אימונים'!I:I,'נתוני אימונים'!A:A,"*.04.2026*",'נתוני אימונים'!B:B,"טמפו"),"")</f>
        <v/>
      </c>
      <c r="G33" s="14">
        <f>IFERROR(SUMIFS('נתוני אימונים'!D:D,'נתוני אימונים'!A:A,"*.04.2026*",'נתוני אימונים'!B:B,"טמפו"),"")</f>
        <v>0</v>
      </c>
    </row>
    <row r="34" spans="1:7" ht="22.05" customHeight="1" x14ac:dyDescent="0.3">
      <c r="A34" s="8" t="s">
        <v>159</v>
      </c>
      <c r="B34" s="15" t="s">
        <v>14</v>
      </c>
      <c r="C34" s="32">
        <f>IFERROR(COUNTIFS('נתוני אימונים'!A:A,"*.04.2026*",'נתוני אימונים'!B:B,"ספרינטים"),0)</f>
        <v>0</v>
      </c>
      <c r="D34" s="16" t="str">
        <f>IFERROR(AVERAGEIFS('נתוני אימונים'!F:F,'נתוני אימונים'!A:A,"*.04.2026*",'נתוני אימונים'!B:B,"ספרינטים"),"")</f>
        <v/>
      </c>
      <c r="E34" s="32" t="str">
        <f>IFERROR(AVERAGEIFS('נתוני אימונים'!G:G,'נתוני אימונים'!A:A,"*.04.2026*",'נתוני אימונים'!B:B,"ספרינטים"),"")</f>
        <v/>
      </c>
      <c r="F34" s="16" t="str">
        <f>IFERROR(AVERAGEIFS('נתוני אימונים'!I:I,'נתוני אימונים'!A:A,"*.04.2026*",'נתוני אימונים'!B:B,"ספרינטים"),"")</f>
        <v/>
      </c>
      <c r="G34" s="16">
        <f>IFERROR(SUMIFS('נתוני אימונים'!D:D,'נתוני אימונים'!A:A,"*.04.2026*",'נתוני אימונים'!B:B,"ספרינטים"),"")</f>
        <v>0</v>
      </c>
    </row>
    <row r="35" spans="1:7" ht="22.05" customHeight="1" x14ac:dyDescent="0.3">
      <c r="A35" s="17" t="s">
        <v>159</v>
      </c>
      <c r="B35" s="17" t="s">
        <v>155</v>
      </c>
      <c r="C35" s="33">
        <f>IFERROR(COUNTIFS('נתוני אימונים'!A:A,"*.04.2026*"),0)</f>
        <v>4</v>
      </c>
      <c r="D35" s="18">
        <f>IFERROR(AVERAGEIFS('נתוני אימונים'!F:F,'נתוני אימונים'!A:A,"*.04.2026*"),"")</f>
        <v>7.35</v>
      </c>
      <c r="E35" s="33">
        <f>IFERROR(AVERAGEIFS('נתוני אימונים'!G:G,'נתוני אימונים'!A:A,"*.04.2026*"),"")</f>
        <v>135.25</v>
      </c>
      <c r="F35" s="18">
        <f>IFERROR(AVERAGEIFS('נתוני אימונים'!I:I,'נתוני אימונים'!A:A,"*.04.2026*"),"")</f>
        <v>3.33</v>
      </c>
      <c r="G35" s="18">
        <f>IFERROR(SUMIFS('נתוני אימונים'!D:D,'נתוני אימונים'!A:A,"*.04.2026*"),"")</f>
        <v>31.32</v>
      </c>
    </row>
    <row r="36" spans="1:7" ht="22.05" customHeight="1" x14ac:dyDescent="0.3"/>
    <row r="37" spans="1:7" ht="22.05" customHeight="1" x14ac:dyDescent="0.3"/>
    <row r="38" spans="1:7" ht="24" customHeight="1" x14ac:dyDescent="0.3"/>
    <row r="39" spans="1:7" ht="15.6" customHeight="1" x14ac:dyDescent="0.3"/>
    <row r="40" spans="1:7" ht="26.4" customHeight="1" x14ac:dyDescent="0.3"/>
    <row r="41" spans="1:7" x14ac:dyDescent="0.3">
      <c r="A41" t="s">
        <v>160</v>
      </c>
      <c r="B41" t="s">
        <v>32</v>
      </c>
      <c r="C41">
        <f>IFERROR(COUNTIFS('נתוני אימונים'!A:A,"*.05.2026*",'נתוני אימונים'!B:B,"אירובי"),0)</f>
        <v>0</v>
      </c>
      <c r="D41" t="str">
        <f>IFERROR(AVERAGEIFS('נתוני אימונים'!F:F,'נתוני אימונים'!A:A,"*.05.2026*",'נתוני אימונים'!B:B,"אירובי"),"")</f>
        <v/>
      </c>
      <c r="E41" t="str">
        <f>IFERROR(AVERAGEIFS('נתוני אימונים'!G:G,'נתוני אימונים'!A:A,"*.05.2026*",'נתוני אימונים'!B:B,"אירובי"),"")</f>
        <v/>
      </c>
      <c r="F41" t="str">
        <f>IFERROR(AVERAGEIFS('נתוני אימונים'!I:I,'נתוני אימונים'!A:A,"*.05.2026*",'נתוני אימונים'!B:B,"אירובי"),"")</f>
        <v/>
      </c>
      <c r="G41">
        <f>IFERROR(SUMIFS('נתוני אימונים'!D:D,'נתוני אימונים'!A:A,"*.05.2026*",'נתוני אימונים'!B:B,"אירובי"),"")</f>
        <v>0</v>
      </c>
    </row>
    <row r="42" spans="1:7" x14ac:dyDescent="0.3">
      <c r="A42" t="s">
        <v>160</v>
      </c>
      <c r="B42" t="s">
        <v>85</v>
      </c>
      <c r="C42">
        <f>IFERROR(COUNTIFS('נתוני אימונים'!A:A,"*.05.2026*",'נתוני אימונים'!B:B,"אירובי ארוך"),0)</f>
        <v>1</v>
      </c>
      <c r="D42">
        <f>IFERROR(AVERAGEIFS('נתוני אימונים'!F:F,'נתוני אימונים'!A:A,"*.05.2026*",'נתוני אימונים'!B:B,"אירובי ארוך"),"")</f>
        <v>7.6</v>
      </c>
      <c r="E42">
        <f>IFERROR(AVERAGEIFS('נתוני אימונים'!G:G,'נתוני אימונים'!A:A,"*.05.2026*",'נתוני אימונים'!B:B,"אירובי ארוך"),"")</f>
        <v>128</v>
      </c>
      <c r="F42">
        <f>IFERROR(AVERAGEIFS('נתוני אימונים'!I:I,'נתוני אימונים'!A:A,"*.05.2026*",'נתוני אימונים'!B:B,"אירובי ארוך"),"")</f>
        <v>3.18</v>
      </c>
      <c r="G42">
        <f>IFERROR(SUMIFS('נתוני אימונים'!D:D,'נתוני אימונים'!A:A,"*.05.2026*",'נתוני אימונים'!B:B,"אירובי ארוך"),"")</f>
        <v>11.17</v>
      </c>
    </row>
    <row r="43" spans="1:7" x14ac:dyDescent="0.3">
      <c r="A43" t="s">
        <v>160</v>
      </c>
      <c r="B43" t="s">
        <v>21</v>
      </c>
      <c r="C43">
        <f>IFERROR(COUNTIFS('נתוני אימונים'!A:A,"*.05.2026*",'נתוני אימונים'!B:B,"טמפו"),0)</f>
        <v>1</v>
      </c>
      <c r="D43">
        <f>IFERROR(AVERAGEIFS('נתוני אימונים'!F:F,'נתוני אימונים'!A:A,"*.05.2026*",'נתוני אימונים'!B:B,"טמפו"),"")</f>
        <v>7.6</v>
      </c>
      <c r="E43">
        <f>IFERROR(AVERAGEIFS('נתוני אימונים'!G:G,'נתוני אימונים'!A:A,"*.05.2026*",'נתוני אימונים'!B:B,"טמפו"),"")</f>
        <v>135</v>
      </c>
      <c r="F43">
        <f>IFERROR(AVERAGEIFS('נתוני אימונים'!I:I,'נתוני אימונים'!A:A,"*.05.2026*",'נתוני אימונים'!B:B,"טמפו"),"")</f>
        <v>3.21</v>
      </c>
      <c r="G43">
        <f>IFERROR(SUMIFS('נתוני אימונים'!D:D,'נתוני אימונים'!A:A,"*.05.2026*",'נתוני אימונים'!B:B,"טמפו"),"")</f>
        <v>9.4700000000000006</v>
      </c>
    </row>
    <row r="44" spans="1:7" x14ac:dyDescent="0.3">
      <c r="A44" t="s">
        <v>160</v>
      </c>
      <c r="B44" t="s">
        <v>14</v>
      </c>
      <c r="C44">
        <f>IFERROR(COUNTIFS('נתוני אימונים'!A:A,"*.05.2026*",'נתוני אימונים'!B:B,"ספרינטים"),0)</f>
        <v>0</v>
      </c>
      <c r="D44" t="str">
        <f>IFERROR(AVERAGEIFS('נתוני אימונים'!F:F,'נתוני אימונים'!A:A,"*.05.2026*",'נתוני אימונים'!B:B,"ספרינטים"),"")</f>
        <v/>
      </c>
      <c r="E44" t="str">
        <f>IFERROR(AVERAGEIFS('נתוני אימונים'!G:G,'נתוני אימונים'!A:A,"*.05.2026*",'נתוני אימונים'!B:B,"ספרינטים"),"")</f>
        <v/>
      </c>
      <c r="F44" t="str">
        <f>IFERROR(AVERAGEIFS('נתוני אימונים'!I:I,'נתוני אימונים'!A:A,"*.05.2026*",'נתוני אימונים'!B:B,"ספרינטים"),"")</f>
        <v/>
      </c>
      <c r="G44">
        <f>IFERROR(SUMIFS('נתוני אימונים'!D:D,'נתוני אימונים'!A:A,"*.05.2026*",'נתוני אימונים'!B:B,"ספרינטים"),"")</f>
        <v>0</v>
      </c>
    </row>
    <row r="45" spans="1:7" x14ac:dyDescent="0.3">
      <c r="A45" t="s">
        <v>160</v>
      </c>
      <c r="B45" t="s">
        <v>161</v>
      </c>
      <c r="C45">
        <f>IFERROR(COUNTIFS('נתוני אימונים'!A:A,"*.05.2026*"),0)</f>
        <v>2</v>
      </c>
      <c r="D45">
        <f>IFERROR(AVERAGEIFS('נתוני אימונים'!F:F,'נתוני אימונים'!A:A,"*.05.2026*"),"")</f>
        <v>7.6</v>
      </c>
      <c r="E45">
        <f>IFERROR(AVERAGEIFS('נתוני אימונים'!G:G,'נתוני אימונים'!A:A,"*.05.2026*"),"")</f>
        <v>131.5</v>
      </c>
      <c r="F45">
        <f>IFERROR(AVERAGEIFS('נתוני אימונים'!I:I,'נתוני אימונים'!A:A,"*.05.2026*"),"")</f>
        <v>3.1950000000000003</v>
      </c>
      <c r="G45">
        <f>IFERROR(SUMIFS('נתוני אימונים'!D:D,'נתוני אימונים'!A:A,"*.05.2026*"),"")</f>
        <v>20.64</v>
      </c>
    </row>
    <row r="46" spans="1:7" ht="15.6" customHeight="1" x14ac:dyDescent="0.3">
      <c r="A46" s="26" t="s">
        <v>162</v>
      </c>
    </row>
    <row r="47" spans="1:7" ht="26.4" customHeight="1" x14ac:dyDescent="0.3">
      <c r="A47" s="7" t="s">
        <v>2</v>
      </c>
      <c r="B47" s="7" t="s">
        <v>163</v>
      </c>
      <c r="C47" s="34" t="s">
        <v>151</v>
      </c>
      <c r="D47" s="7" t="s">
        <v>7</v>
      </c>
      <c r="E47" s="34" t="s">
        <v>152</v>
      </c>
      <c r="F47" s="7" t="s">
        <v>164</v>
      </c>
      <c r="G47" s="7" t="s">
        <v>165</v>
      </c>
    </row>
    <row r="48" spans="1:7" x14ac:dyDescent="0.3">
      <c r="A48" s="9" t="s">
        <v>32</v>
      </c>
      <c r="B48" s="10">
        <f>IFERROR(COUNTIF('נתוני אימונים'!B:B,"אירובי"),0)</f>
        <v>15</v>
      </c>
      <c r="C48" s="29">
        <f>IFERROR(AVERAGEIF('נתוני אימונים'!B:B,"אירובי",'נתוני אימונים'!F:F),"")</f>
        <v>7.3000000000000007</v>
      </c>
      <c r="D48" s="10">
        <f>IFERROR(AVERAGEIF('נתוני אימונים'!B:B,"אירובי",'נתוני אימונים'!G:G),"")</f>
        <v>132.73333333333332</v>
      </c>
      <c r="E48" s="29">
        <f>IFERROR(AVERAGEIF('נתוני אימונים'!B:B,"אירובי",'נתוני אימונים'!I:I),"")</f>
        <v>3.2093333333333334</v>
      </c>
      <c r="F48" s="10">
        <f>IFERROR(SUMIF('נתוני אימונים'!B:B,"אירובי",'נתוני אימונים'!D:D),"")</f>
        <v>126.11</v>
      </c>
      <c r="G48" s="19">
        <f>IFERROR(COUNTIF('נתוני אימונים'!B:B,"אירובי")/COUNTA('נתוני אימונים'!A3:A999),"")</f>
        <v>0.44117647058823528</v>
      </c>
    </row>
    <row r="49" spans="1:7" x14ac:dyDescent="0.3">
      <c r="A49" s="11" t="s">
        <v>85</v>
      </c>
      <c r="B49" s="12">
        <f>IFERROR(COUNTIF('נתוני אימונים'!B:B,"אירובי ארוך"),0)</f>
        <v>3</v>
      </c>
      <c r="C49" s="30">
        <f>IFERROR(AVERAGEIF('נתוני אימונים'!B:B,"אירובי ארוך",'נתוני אימונים'!F:F),"")</f>
        <v>7.833333333333333</v>
      </c>
      <c r="D49" s="12">
        <f>IFERROR(AVERAGEIF('נתוני אימונים'!B:B,"אירובי ארוך",'נתוני אימונים'!G:G),"")</f>
        <v>133</v>
      </c>
      <c r="E49" s="30">
        <f>IFERROR(AVERAGEIF('נתוני אימונים'!B:B,"אירובי ארוך",'נתוני אימונים'!I:I),"")</f>
        <v>3.28</v>
      </c>
      <c r="F49" s="12">
        <f>IFERROR(SUMIF('נתוני אימונים'!B:B,"אירובי ארוך",'נתוני אימונים'!D:D),"")</f>
        <v>44.79</v>
      </c>
      <c r="G49" s="20">
        <f>IFERROR(COUNTIF('נתוני אימונים'!B:B,"אירובי ארוך")/COUNTA('נתוני אימונים'!A3:A999),"")</f>
        <v>8.8235294117647065E-2</v>
      </c>
    </row>
    <row r="50" spans="1:7" x14ac:dyDescent="0.3">
      <c r="A50" s="13" t="s">
        <v>21</v>
      </c>
      <c r="B50" s="14">
        <f>IFERROR(COUNTIF('נתוני אימונים'!B:B,"טמפו"),0)</f>
        <v>11</v>
      </c>
      <c r="C50" s="31">
        <f>IFERROR(AVERAGEIF('נתוני אימונים'!B:B,"טמפו",'נתוני אימונים'!F:F),"")</f>
        <v>7.1272727272727261</v>
      </c>
      <c r="D50" s="14">
        <f>IFERROR(AVERAGEIF('נתוני אימונים'!B:B,"טמפו",'נתוני אימונים'!G:G),"")</f>
        <v>140.54545454545453</v>
      </c>
      <c r="E50" s="31">
        <f>IFERROR(AVERAGEIF('נתוני אימונים'!B:B,"טמפו",'נתוני אימונים'!I:I),"")</f>
        <v>2.9945454545454542</v>
      </c>
      <c r="F50" s="14">
        <f>IFERROR(SUMIF('נתוני אימונים'!B:B,"טמפו",'נתוני אימונים'!D:D),"")</f>
        <v>98.99</v>
      </c>
      <c r="G50" s="21">
        <f>IFERROR(COUNTIF('נתוני אימונים'!B:B,"טמפו")/COUNTA('נתוני אימונים'!A3:A999),"")</f>
        <v>0.3235294117647059</v>
      </c>
    </row>
    <row r="51" spans="1:7" x14ac:dyDescent="0.3">
      <c r="A51" s="15" t="s">
        <v>14</v>
      </c>
      <c r="B51" s="16">
        <f>IFERROR(COUNTIF('נתוני אימונים'!B:B,"ספרינטים"),0)</f>
        <v>5</v>
      </c>
      <c r="C51" s="32">
        <f>IFERROR(AVERAGEIF('נתוני אימונים'!B:B,"ספרינטים",'נתוני אימונים'!F:F),"")</f>
        <v>6.2999999999999989</v>
      </c>
      <c r="D51" s="16">
        <f>IFERROR(AVERAGEIF('נתוני אימונים'!B:B,"ספרינטים",'נתוני אימונים'!G:G),"")</f>
        <v>127</v>
      </c>
      <c r="E51" s="32">
        <f>IFERROR(AVERAGEIF('נתוני אימונים'!B:B,"ספרינטים",'נתוני אימונים'!I:I),"")</f>
        <v>2.9119999999999999</v>
      </c>
      <c r="F51" s="16">
        <f>IFERROR(SUMIF('נתוני אימונים'!B:B,"ספרינטים",'נתוני אימונים'!D:D),"")</f>
        <v>41.710000000000008</v>
      </c>
      <c r="G51" s="22">
        <f>IFERROR(COUNTIF('נתוני אימונים'!B:B,"ספרינטים")/COUNTA('נתוני אימונים'!A3:A999),"")</f>
        <v>0.14705882352941177</v>
      </c>
    </row>
    <row r="52" spans="1:7" x14ac:dyDescent="0.3">
      <c r="A52" s="23" t="s">
        <v>166</v>
      </c>
      <c r="B52" s="24">
        <f>COUNTA('נתוני אימונים'!A3:A999)</f>
        <v>34</v>
      </c>
      <c r="C52" s="35">
        <f>IFERROR(AVERAGE('נתוני אימונים'!F3:F999),"")</f>
        <v>7.144117647058823</v>
      </c>
      <c r="D52" s="24">
        <f>IFERROR(AVERAGE('נתוני אימונים'!G3:G999),"")</f>
        <v>134.44117647058823</v>
      </c>
      <c r="E52" s="35">
        <f>IFERROR(AVERAGE('נתוני אימונים'!I3:I999),"")</f>
        <v>3.1023529411764708</v>
      </c>
      <c r="F52" s="24">
        <f>IFERROR(SUM('נתוני אימונים'!D3:D999),"")</f>
        <v>311.60000000000008</v>
      </c>
      <c r="G52" s="23" t="s">
        <v>167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topLeftCell="A28" workbookViewId="0"/>
  </sheetViews>
  <sheetFormatPr defaultRowHeight="14.4" x14ac:dyDescent="0.3"/>
  <sheetData>
    <row r="1" spans="1:5" x14ac:dyDescent="0.3">
      <c r="A1" s="25" t="s">
        <v>149</v>
      </c>
      <c r="B1" s="25" t="s">
        <v>168</v>
      </c>
      <c r="C1" s="25" t="s">
        <v>169</v>
      </c>
      <c r="D1" s="25" t="s">
        <v>170</v>
      </c>
      <c r="E1" s="25" t="s">
        <v>171</v>
      </c>
    </row>
    <row r="2" spans="1:5" x14ac:dyDescent="0.3">
      <c r="A2" t="s">
        <v>154</v>
      </c>
      <c r="B2">
        <f>IFERROR(AVERAGEIFS('נתוני אימונים'!F:F,'נתוני אימונים'!A:A,"*.12.2025*"),0)</f>
        <v>7.0333333333333323</v>
      </c>
      <c r="C2">
        <f>IFERROR(AVERAGEIFS('נתוני אימונים'!G:G,'נתוני אימונים'!A:A,"*.12.2025*"),0)</f>
        <v>132.58333333333334</v>
      </c>
      <c r="D2">
        <f>IFERROR(AVERAGEIFS('נתוני אימונים'!I:I,'נתוני אימונים'!A:A,"*.12.2025*"),0)</f>
        <v>3.0375000000000001</v>
      </c>
      <c r="E2">
        <f t="shared" ref="E2:E7" si="0">IFERROR(B2/C2,0)</f>
        <v>5.3048397234443732E-2</v>
      </c>
    </row>
    <row r="3" spans="1:5" x14ac:dyDescent="0.3">
      <c r="A3" t="s">
        <v>156</v>
      </c>
      <c r="B3">
        <f>IFERROR(AVERAGEIFS('נתוני אימונים'!F:F,'נתוני אימונים'!A:A,"*.01.2026*"),0)</f>
        <v>6.8166666666666664</v>
      </c>
      <c r="C3">
        <f>IFERROR(AVERAGEIFS('נתוני אימונים'!G:G,'נתוני אימונים'!A:A,"*.01.2026*"),0)</f>
        <v>136.83333333333334</v>
      </c>
      <c r="D3">
        <f>IFERROR(AVERAGEIFS('נתוני אימונים'!I:I,'נתוני אימונים'!A:A,"*.01.2026*"),0)</f>
        <v>2.97</v>
      </c>
      <c r="E3">
        <f t="shared" si="0"/>
        <v>4.9817295980511565E-2</v>
      </c>
    </row>
    <row r="4" spans="1:5" x14ac:dyDescent="0.3">
      <c r="A4" t="s">
        <v>157</v>
      </c>
      <c r="B4">
        <f>IFERROR(AVERAGEIFS('נתוני אימונים'!F:F,'נתוני אימונים'!A:A,"*.02.2026*"),0)</f>
        <v>7.3</v>
      </c>
      <c r="C4">
        <f>IFERROR(AVERAGEIFS('נתוני אימונים'!G:G,'נתוני אימונים'!A:A,"*.02.2026*"),0)</f>
        <v>135.5</v>
      </c>
      <c r="D4">
        <f>IFERROR(AVERAGEIFS('נתוני אימונים'!I:I,'נתוני אימונים'!A:A,"*.02.2026*"),0)</f>
        <v>3.15</v>
      </c>
      <c r="E4">
        <f t="shared" si="0"/>
        <v>5.3874538745387453E-2</v>
      </c>
    </row>
    <row r="5" spans="1:5" x14ac:dyDescent="0.3">
      <c r="A5" t="s">
        <v>158</v>
      </c>
      <c r="B5">
        <f>IFERROR(AVERAGEIFS('נתוני אימונים'!F:F,'נתוני אימונים'!A:A,"*.03.2026*"),0)</f>
        <v>0</v>
      </c>
      <c r="C5">
        <f>IFERROR(AVERAGEIFS('נתוני אימונים'!G:G,'נתוני אימונים'!A:A,"*.03.2026*"),0)</f>
        <v>0</v>
      </c>
      <c r="D5">
        <f>IFERROR(AVERAGEIFS('נתוני אימונים'!I:I,'נתוני אימונים'!A:A,"*.03.2026*"),0)</f>
        <v>0</v>
      </c>
      <c r="E5">
        <f t="shared" si="0"/>
        <v>0</v>
      </c>
    </row>
    <row r="6" spans="1:5" x14ac:dyDescent="0.3">
      <c r="A6" t="s">
        <v>159</v>
      </c>
      <c r="B6">
        <f>IFERROR(AVERAGEIFS('נתוני אימונים'!F:F,'נתוני אימונים'!A:A,"*.04.2026*"),0)</f>
        <v>7.35</v>
      </c>
      <c r="C6">
        <f>IFERROR(AVERAGEIFS('נתוני אימונים'!G:G,'נתוני אימונים'!A:A,"*.04.2026*"),0)</f>
        <v>135.25</v>
      </c>
      <c r="D6">
        <f>IFERROR(AVERAGEIFS('נתוני אימונים'!I:I,'נתוני אימונים'!A:A,"*.04.2026*"),0)</f>
        <v>3.33</v>
      </c>
      <c r="E6">
        <f t="shared" si="0"/>
        <v>5.4343807763401107E-2</v>
      </c>
    </row>
    <row r="7" spans="1:5" x14ac:dyDescent="0.3">
      <c r="A7" t="s">
        <v>160</v>
      </c>
      <c r="B7">
        <f>IFERROR(AVERAGEIFS('נתוני אימונים'!F:F,'נתוני אימונים'!A:A,"*.05.2026*"),0)</f>
        <v>7.6</v>
      </c>
      <c r="C7">
        <f>IFERROR(AVERAGEIFS('נתוני אימונים'!G:G,'נתוני אימונים'!A:A,"*.05.2026*"),0)</f>
        <v>131.5</v>
      </c>
      <c r="D7">
        <f>IFERROR(AVERAGEIFS('נתוני אימונים'!I:I,'נתוני אימונים'!A:A,"*.05.2026*"),0)</f>
        <v>3.1950000000000003</v>
      </c>
      <c r="E7">
        <f t="shared" si="0"/>
        <v>5.7794676806083647E-2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נתוני אימונים</vt:lpstr>
      <vt:lpstr>סיכום חודשי</vt:lpstr>
      <vt:lpstr>גרפים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1</cp:revision>
  <dcterms:created xsi:type="dcterms:W3CDTF">2026-03-09T02:09:10Z</dcterms:created>
  <dcterms:modified xsi:type="dcterms:W3CDTF">2026-05-02T08:28:00Z</dcterms:modified>
  <dc:language>en-US</dc:language>
</cp:coreProperties>
</file>